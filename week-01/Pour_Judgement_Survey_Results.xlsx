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week-01/"/>
    </mc:Choice>
  </mc:AlternateContent>
  <xr:revisionPtr revIDLastSave="362" documentId="8_{9B281EA0-B6BE-46F3-B2CB-3BB37D49B48D}" xr6:coauthVersionLast="47" xr6:coauthVersionMax="47" xr10:uidLastSave="{60DB517A-04EE-4689-93CC-4D0B17A0EA75}"/>
  <bookViews>
    <workbookView xWindow="-108" yWindow="-108" windowWidth="23256" windowHeight="13176" xr2:uid="{00000000-000D-0000-FFFF-FFFF00000000}"/>
  </bookViews>
  <sheets>
    <sheet name="Survey Results" sheetId="1" r:id="rId1"/>
    <sheet name="Pour Judgement's Graphs" sheetId="2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I23" i="1"/>
  <c r="J23" i="1"/>
  <c r="K23" i="1"/>
  <c r="X23" i="1"/>
  <c r="Y23" i="1"/>
  <c r="A23" i="1"/>
  <c r="N23" i="1" a="1"/>
  <c r="N23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O4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25" i="1"/>
  <c r="P25" i="1"/>
  <c r="Q25" i="1"/>
  <c r="R25" i="1"/>
  <c r="S25" i="1"/>
  <c r="T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O23" i="1" a="1"/>
  <c r="O23" i="1" s="1"/>
  <c r="P23" i="1" a="1"/>
  <c r="P23" i="1"/>
  <c r="Q23" i="1" a="1"/>
  <c r="Q23" i="1"/>
  <c r="R23" i="1" a="1"/>
  <c r="R23" i="1" s="1"/>
  <c r="S23" i="1" a="1"/>
  <c r="S23" i="1"/>
  <c r="T23" i="1" a="1"/>
  <c r="T23" i="1" s="1"/>
  <c r="M23" i="1" a="1"/>
  <c r="M23" i="1" s="1"/>
  <c r="L23" i="1" a="1"/>
  <c r="L23" i="1"/>
  <c r="W23" i="1"/>
  <c r="D2" i="1"/>
  <c r="D23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<sst xmlns="http://schemas.openxmlformats.org/spreadsheetml/2006/main" count="440" uniqueCount="140">
  <si>
    <t>ID</t>
  </si>
  <si>
    <t>Start time</t>
  </si>
  <si>
    <t>Completion time</t>
  </si>
  <si>
    <t>Email</t>
  </si>
  <si>
    <t>Name</t>
  </si>
  <si>
    <t>Last modified time</t>
  </si>
  <si>
    <t>How often do you visit Pour Judgement?</t>
  </si>
  <si>
    <t>What brings you into Pour Judgement usually?</t>
  </si>
  <si>
    <t>How much do you spend at Pour Judgement typically?</t>
  </si>
  <si>
    <t>What do you normally purchase at Pour Judgement?</t>
  </si>
  <si>
    <t>Drink Quality</t>
  </si>
  <si>
    <t>Drink Selection</t>
  </si>
  <si>
    <t>Food Quality</t>
  </si>
  <si>
    <t>Portion Size</t>
  </si>
  <si>
    <t>Speed of Service</t>
  </si>
  <si>
    <t>Bartender Friendliness</t>
  </si>
  <si>
    <t>Cleanliness</t>
  </si>
  <si>
    <t>Ambient/Music</t>
  </si>
  <si>
    <t>Pricing</t>
  </si>
  <si>
    <t>What is your favorite drink/food item at Pour Judgement?</t>
  </si>
  <si>
    <t>Do you have any suggestions you would like to be added to the menu (drink/food)?</t>
  </si>
  <si>
    <t>How likely are you to recommend Pour Judgement to a friend or colleague?</t>
  </si>
  <si>
    <t>How interested would you be in joining Pour Judgement's rewards program?</t>
  </si>
  <si>
    <t>Which perks would you be interested the most? (Select up to 2)</t>
  </si>
  <si>
    <t>okaraer@my.yearupunited.org</t>
  </si>
  <si>
    <t>onur karaer</t>
  </si>
  <si>
    <t>Monthly</t>
  </si>
  <si>
    <t>Gatherings (Friend meet ups/socializing)</t>
  </si>
  <si>
    <t>$20 - $40</t>
  </si>
  <si>
    <t>Draft Beer</t>
  </si>
  <si>
    <t>Satisfied</t>
  </si>
  <si>
    <t>Extremely satisfied</t>
  </si>
  <si>
    <t>Neutral</t>
  </si>
  <si>
    <t>PBR</t>
  </si>
  <si>
    <t>More draft beer options</t>
  </si>
  <si>
    <t>Somewhat interested</t>
  </si>
  <si>
    <t>Members-only events</t>
  </si>
  <si>
    <t>ccelik@my.yearupunited.org</t>
  </si>
  <si>
    <t>cagla celik</t>
  </si>
  <si>
    <t>Drinks + Food</t>
  </si>
  <si>
    <t>$40 +</t>
  </si>
  <si>
    <t>Bottled/Canned Beer</t>
  </si>
  <si>
    <t>Espresso Martini</t>
  </si>
  <si>
    <t>Sliders</t>
  </si>
  <si>
    <t>Meh (neutral)</t>
  </si>
  <si>
    <t>Exclusive access to new beers/cocktails added to menu</t>
  </si>
  <si>
    <t>jnavarroservin@my.yearupunited.org</t>
  </si>
  <si>
    <t>jessica navarroservin</t>
  </si>
  <si>
    <t>Daily</t>
  </si>
  <si>
    <t>Cocktails</t>
  </si>
  <si>
    <t>Pour Decisions Margarita</t>
  </si>
  <si>
    <t>hot wings</t>
  </si>
  <si>
    <t>Extremely interested!</t>
  </si>
  <si>
    <t>Birthday drink of choice</t>
  </si>
  <si>
    <t>tarista@my.yearupunited.org</t>
  </si>
  <si>
    <t>tracy arista</t>
  </si>
  <si>
    <t>Weekly</t>
  </si>
  <si>
    <t xml:space="preserve">dirty martini </t>
  </si>
  <si>
    <t>add martini flights</t>
  </si>
  <si>
    <t>Free drink after a certain number of visits</t>
  </si>
  <si>
    <t>jalmarazflores@my.yearupunited.org</t>
  </si>
  <si>
    <t>julissa almarazflores</t>
  </si>
  <si>
    <t>First time!</t>
  </si>
  <si>
    <t>Margarita</t>
  </si>
  <si>
    <t>Frozen margarita</t>
  </si>
  <si>
    <t>ssimsek@my.yearupunited.org</t>
  </si>
  <si>
    <t>sultan simsek</t>
  </si>
  <si>
    <t>$10 - $20</t>
  </si>
  <si>
    <t>spicy margarita</t>
  </si>
  <si>
    <t>mezcalita</t>
  </si>
  <si>
    <t>Discounted appetizers/food</t>
  </si>
  <si>
    <t>kmarsh1@my.yearupunited.org</t>
  </si>
  <si>
    <t>kiersten marsh</t>
  </si>
  <si>
    <t>A few times per week</t>
  </si>
  <si>
    <t>A double shot lime margarita with a splash of patron</t>
  </si>
  <si>
    <t>Maybe beer battered chicken tenders</t>
  </si>
  <si>
    <t>asago@my.yearupunited.org</t>
  </si>
  <si>
    <t>antwaushea sago</t>
  </si>
  <si>
    <t xml:space="preserve">Mai tai and chicken wings </t>
  </si>
  <si>
    <t xml:space="preserve">Bacon Cheese burgers </t>
  </si>
  <si>
    <t>arollins@my.yearupunited.org</t>
  </si>
  <si>
    <t>ariel rollins</t>
  </si>
  <si>
    <t>Food</t>
  </si>
  <si>
    <t>I don't have a favorite. It's my first time here!</t>
  </si>
  <si>
    <t>N/A</t>
  </si>
  <si>
    <t>fbaslar@my.yearupunited.org</t>
  </si>
  <si>
    <t>fuat baslar</t>
  </si>
  <si>
    <t>Drinks Only</t>
  </si>
  <si>
    <t>-</t>
  </si>
  <si>
    <t>aosorio@my.yearupunited.org</t>
  </si>
  <si>
    <t>angel osorio</t>
  </si>
  <si>
    <t>Corona</t>
  </si>
  <si>
    <t>Bacon Cheeseburger</t>
  </si>
  <si>
    <t>cugur@my.yearupunited.org</t>
  </si>
  <si>
    <t>ceyhun ugur</t>
  </si>
  <si>
    <t>wings</t>
  </si>
  <si>
    <t>nothing</t>
  </si>
  <si>
    <t>ktesema@my.yearupunited.org</t>
  </si>
  <si>
    <t>kidus tesema</t>
  </si>
  <si>
    <t>italian beef with jägermeister</t>
  </si>
  <si>
    <t>msaeday@my.yearupunited.org</t>
  </si>
  <si>
    <t>mina saeday</t>
  </si>
  <si>
    <t>Under $10</t>
  </si>
  <si>
    <t>pmartinez@my.yearupunited.org</t>
  </si>
  <si>
    <t>paola martinez</t>
  </si>
  <si>
    <t xml:space="preserve">The house beer </t>
  </si>
  <si>
    <t xml:space="preserve">I would like to see more combo deals </t>
  </si>
  <si>
    <t>rmengesha@my.yearupunited.org</t>
  </si>
  <si>
    <t>lychee martini</t>
  </si>
  <si>
    <t>wpoindexter@my.yearupunited.org</t>
  </si>
  <si>
    <t>william poindexter</t>
  </si>
  <si>
    <t>none</t>
  </si>
  <si>
    <t>gmutize@my.yearupunited.org</t>
  </si>
  <si>
    <t>godknows mutize</t>
  </si>
  <si>
    <t>Cocktail</t>
  </si>
  <si>
    <t>edebero@my.yearupunited.org</t>
  </si>
  <si>
    <t>eyerusalem debero</t>
  </si>
  <si>
    <t>I don’t have a favorite yet since this is my first visit.</t>
  </si>
  <si>
    <t>More variety in food and drink options would be great.</t>
  </si>
  <si>
    <t>tjuarez@my.yearupunited.org</t>
  </si>
  <si>
    <t>teodoro juarez</t>
  </si>
  <si>
    <t>the House Ale</t>
  </si>
  <si>
    <t>Add spicy honey wings</t>
  </si>
  <si>
    <t>lpham1@my.yearupunited.org</t>
  </si>
  <si>
    <t>longley pham</t>
  </si>
  <si>
    <t>Time to Complete</t>
  </si>
  <si>
    <t>Dissatisfied</t>
  </si>
  <si>
    <t>Extremely dissatisfied</t>
  </si>
  <si>
    <t>**All sections that had "Dissatisfied" gave me a "Bad Value" because there was a space after "Dissatisfied". Had to clean the data for the AVG function to work</t>
  </si>
  <si>
    <t>^ Extermely Interested</t>
  </si>
  <si>
    <t>Count of Name</t>
  </si>
  <si>
    <t>Row Labels</t>
  </si>
  <si>
    <t>(blank)</t>
  </si>
  <si>
    <t>Grand Total</t>
  </si>
  <si>
    <t>Count of Drink Quality</t>
  </si>
  <si>
    <t>^ Discounted appetizers/food</t>
  </si>
  <si>
    <t xml:space="preserve">^AVG </t>
  </si>
  <si>
    <t>^ $20 - $40</t>
  </si>
  <si>
    <t>^ Drinks + Food</t>
  </si>
  <si>
    <t>^ First time!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</si>
</sst>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165" fontId="0" fillId="0" borderId="0" xfId="0" applyNumberFormat="1"/>
    <xf numFmtId="4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[Pour_Judgement_Survey_Results.xlsx]Pour Judgement's Graphs!PivotTable1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Pour</a:t>
            </a:r>
            <a:r>
              <a:rPr lang="en-US" baseline="0"/>
              <a:t> Judgement's Chance of Recommendation</a:t>
            </a:r>
            <a:endParaRPr lang="en-US"/>
          </a:p>
        </c:rich>
      </c:tx>
      <c:layout>
        <c:manualLayout>
          <c:xMode val="edge"/>
          <c:yMode val="edge"/>
          <c:x val="0.2824304461942257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'Pour Judgement''s Graphs'!$B$1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'Pour Judgement''s Graphs'!$A$2:$A$8</c:f>
              <c:strCach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(blank)</c:v>
                </c:pt>
              </c:strCache>
            </c:strRef>
          </c:cat>
          <c:val>
            <c:numRef>
              <c:f>'Pour Judgement''s Graphs'!$B$2:$B$8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A-4091-814D-1FA70D33E1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91407647"/>
        <c:axId val="691409087"/>
      </c:barChart>
      <c:catAx>
        <c:axId val="69140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09087"/>
        <c:crosses val="autoZero"/>
        <c:auto val="1"/>
        <c:lblAlgn val="ctr"/>
        <c:lblOffset val="100"/>
        <c:noMultiLvlLbl val="0"/>
      </c:catAx>
      <c:valAx>
        <c:axId val="69140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140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[Pour_Judgement_Survey_Results.xlsx]Pour Judgement's Graphs!PivotTable2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Purchases at Pour Judgement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'Pour Judgement''s Graphs'!$B$22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'Pour Judgement''s Graphs'!$A$23:$A$28</c:f>
              <c:strCache>
                <c:ptCount val="5"/>
                <c:pt idx="0">
                  <c:v>Bottled/Canned Beer</c:v>
                </c:pt>
                <c:pt idx="1">
                  <c:v>Cocktails</c:v>
                </c:pt>
                <c:pt idx="2">
                  <c:v>Draft Beer</c:v>
                </c:pt>
                <c:pt idx="3">
                  <c:v>Food</c:v>
                </c:pt>
                <c:pt idx="4">
                  <c:v>(blank)</c:v>
                </c:pt>
              </c:strCache>
            </c:strRef>
          </c:cat>
          <c:val>
            <c:numRef>
              <c:f>'Pour Judgement''s Graphs'!$B$23:$B$28</c:f>
              <c:numCache>
                <c:formatCode>General</c:formatCode>
                <c:ptCount val="5"/>
                <c:pt idx="0">
                  <c:v>3</c:v>
                </c:pt>
                <c:pt idx="1">
                  <c:v>10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7-4245-976C-121FF35CBD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[Pour_Judgement_Survey_Results.xlsx]Pour Judgement's Graphs!PivotTable4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of Drink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'Pour Judgement''s Graphs'!$B$46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'Pour Judgement''s Graphs'!$A$47:$A$50</c:f>
              <c:strCache>
                <c:ptCount val="3"/>
                <c:pt idx="0">
                  <c:v>Extremely satisfied</c:v>
                </c:pt>
                <c:pt idx="1">
                  <c:v>Neutral</c:v>
                </c:pt>
                <c:pt idx="2">
                  <c:v>Satisfied</c:v>
                </c:pt>
              </c:strCache>
            </c:strRef>
          </c:cat>
          <c:val>
            <c:numRef>
              <c:f>'Pour Judgement''s Graphs'!$B$47:$B$50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584-4644-A1B8-90EC56E20D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9839504"/>
        <c:axId val="1149841424"/>
      </c:barChart>
      <c:catAx>
        <c:axId val="114983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841424"/>
        <c:crosses val="autoZero"/>
        <c:auto val="1"/>
        <c:lblAlgn val="ctr"/>
        <c:lblOffset val="100"/>
        <c:noMultiLvlLbl val="0"/>
      </c:catAx>
      <c:valAx>
        <c:axId val="1149841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983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2</xdr:row>
      <xdr:rowOff>22860</xdr:rowOff>
    </xdr:from>
    <xdr:to>
      <xdr:col>11</xdr:col>
      <xdr:colOff>426720</xdr:colOff>
      <xdr:row>19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FDB3A-F793-852D-D711-E8F6A2625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20</xdr:row>
      <xdr:rowOff>110490</xdr:rowOff>
    </xdr:from>
    <xdr:to>
      <xdr:col>12</xdr:col>
      <xdr:colOff>0</xdr:colOff>
      <xdr:row>42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D50EE-80C9-3C15-DE0D-641C548F7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617220</xdr:colOff>
      <xdr:row>45</xdr:row>
      <xdr:rowOff>0</xdr:rowOff>
    </xdr:from>
    <xdr:to>
      <xdr:col>7</xdr:col>
      <xdr:colOff>457200</xdr:colOff>
      <xdr:row>60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030AF6-70E9-777B-027A-F3F1CA33A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Ruiz" refreshedDate="46122.533137615741" createdVersion="8" refreshedVersion="8" minRefreshableVersion="3" recordCount="21" xr:uid="{7A02289E-57E7-4CC5-A084-A101EEBEB6DA}">
  <cacheSource type="worksheet">
    <worksheetSource name="Table1"/>
  </cacheSource>
  <cacheFields count="25">
    <cacheField name="ID" numFmtId="0">
      <sharedItems containsSemiMixedTypes="0" containsString="0" containsNumber="1" containsInteger="1" minValue="1" maxValue="21"/>
    </cacheField>
    <cacheField name="Start time" numFmtId="165">
      <sharedItems containsSemiMixedTypes="0" containsNonDate="0" containsDate="1" containsString="0" minDate="2026-04-08T13:08:20" maxDate="2026-04-09T14:12:00"/>
    </cacheField>
    <cacheField name="Completion time" numFmtId="165">
      <sharedItems containsSemiMixedTypes="0" containsNonDate="0" containsDate="1" containsString="0" minDate="2026-04-08T13:09:39" maxDate="2026-04-09T14:12:23"/>
    </cacheField>
    <cacheField name="Time to Complete" numFmtId="45">
      <sharedItems containsSemiMixedTypes="0" containsNonDate="0" containsDate="1" containsString="0" minDate="1899-12-30T00:00:23" maxDate="1899-12-30T00:07:04"/>
    </cacheField>
    <cacheField name="Email" numFmtId="0">
      <sharedItems/>
    </cacheField>
    <cacheField name="Name" numFmtId="0">
      <sharedItems count="21">
        <s v="onur karaer"/>
        <s v="cagla celik"/>
        <s v="jessica navarroservin"/>
        <s v="tracy arista"/>
        <s v="julissa almarazflores"/>
        <s v="sultan simsek"/>
        <s v="kiersten marsh"/>
        <s v="antwaushea sago"/>
        <s v="ariel rollins"/>
        <s v="fuat baslar"/>
        <s v="angel osorio"/>
        <s v="ceyhun ugur"/>
        <s v="kidus tesema"/>
        <s v="mina saeday"/>
        <s v="paola martinez"/>
        <s v="rmengesha@my.yearupunited.org"/>
        <s v="william poindexter"/>
        <s v="godknows mutize"/>
        <s v="eyerusalem debero"/>
        <s v="teodoro juarez"/>
        <s v="longley pham"/>
      </sharedItems>
    </cacheField>
    <cacheField name="Last modified time" numFmtId="164">
      <sharedItems containsNonDate="0" containsString="0" containsBlank="1"/>
    </cacheField>
    <cacheField name="How often do you visit Pour Judgement?" numFmtId="0">
      <sharedItems containsBlank="1"/>
    </cacheField>
    <cacheField name="What brings you into Pour Judgement usually?" numFmtId="0">
      <sharedItems containsBlank="1"/>
    </cacheField>
    <cacheField name="How much do you spend at Pour Judgement typically?" numFmtId="0">
      <sharedItems containsBlank="1" count="5">
        <s v="$20 - $40"/>
        <s v="$40 +"/>
        <s v="$10 - $20"/>
        <s v="Under $10"/>
        <m/>
      </sharedItems>
    </cacheField>
    <cacheField name="What do you normally purchase at Pour Judgement?" numFmtId="0">
      <sharedItems containsBlank="1" count="5">
        <s v="Draft Beer"/>
        <s v="Bottled/Canned Beer"/>
        <s v="Cocktails"/>
        <s v="Food"/>
        <m/>
      </sharedItems>
    </cacheField>
    <cacheField name="Drink Quality" numFmtId="0">
      <sharedItems count="3">
        <s v="Satisfied"/>
        <s v="Extremely satisfied"/>
        <s v="Neutral"/>
      </sharedItems>
    </cacheField>
    <cacheField name="Drink Selection" numFmtId="0">
      <sharedItems count="3">
        <s v="Satisfied"/>
        <s v="Extremely satisfied"/>
        <s v="Neutral"/>
      </sharedItems>
    </cacheField>
    <cacheField name="Food Quality" numFmtId="0">
      <sharedItems/>
    </cacheField>
    <cacheField name="Portion Size" numFmtId="0">
      <sharedItems/>
    </cacheField>
    <cacheField name="Speed of Service" numFmtId="0">
      <sharedItems/>
    </cacheField>
    <cacheField name="Bartender Friendliness" numFmtId="0">
      <sharedItems/>
    </cacheField>
    <cacheField name="Cleanliness" numFmtId="0">
      <sharedItems/>
    </cacheField>
    <cacheField name="Ambient/Music" numFmtId="0">
      <sharedItems/>
    </cacheField>
    <cacheField name="Pricing" numFmtId="0">
      <sharedItems/>
    </cacheField>
    <cacheField name="What is your favorite drink/food item at Pour Judgement?" numFmtId="0">
      <sharedItems containsBlank="1"/>
    </cacheField>
    <cacheField name="Do you have any suggestions you would like to be added to the menu (drink/food)?" numFmtId="0">
      <sharedItems containsBlank="1"/>
    </cacheField>
    <cacheField name="How likely are you to recommend Pour Judgement to a friend or colleague?" numFmtId="0">
      <sharedItems containsString="0" containsBlank="1" containsNumber="1" containsInteger="1" minValue="6" maxValue="10" count="6">
        <n v="8"/>
        <n v="7"/>
        <n v="9"/>
        <n v="6"/>
        <n v="10"/>
        <m/>
      </sharedItems>
    </cacheField>
    <cacheField name="How interested would you be in joining Pour Judgement's rewards program?" numFmtId="0">
      <sharedItems count="3">
        <s v="Somewhat interested"/>
        <s v="Meh (neutral)"/>
        <s v="Extremely interested!"/>
      </sharedItems>
    </cacheField>
    <cacheField name="Which perks would you be interested the most? (Select up to 2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d v="2026-04-08T13:08:20"/>
    <d v="2026-04-08T13:09:39"/>
    <d v="1899-12-30T00:01:19"/>
    <s v="okaraer@my.yearupunited.org"/>
    <x v="0"/>
    <m/>
    <s v="Monthly"/>
    <s v="Gatherings (Friend meet ups/socializing)"/>
    <x v="0"/>
    <x v="0"/>
    <x v="0"/>
    <x v="0"/>
    <s v="Extremely satisfied"/>
    <s v="Neutral"/>
    <s v="Dissatisfied"/>
    <s v="Extremely dissatisfied"/>
    <s v="Satisfied"/>
    <s v="Extremely satisfied"/>
    <s v="Neutral"/>
    <s v="PBR"/>
    <s v="More draft beer options"/>
    <x v="0"/>
    <x v="0"/>
    <s v="Members-only events"/>
  </r>
  <r>
    <n v="2"/>
    <d v="2026-04-08T13:50:17"/>
    <d v="2026-04-08T13:52:46"/>
    <d v="1899-12-30T00:02:29"/>
    <s v="ccelik@my.yearupunited.org"/>
    <x v="1"/>
    <m/>
    <s v="Monthly"/>
    <s v="Drinks + Food"/>
    <x v="1"/>
    <x v="1"/>
    <x v="0"/>
    <x v="0"/>
    <s v="Extremely satisfied"/>
    <s v="Neutral"/>
    <s v="Extremely satisfied"/>
    <s v="Extremely satisfied"/>
    <s v="Extremely satisfied"/>
    <s v="Extremely satisfied"/>
    <s v="Extremely satisfied"/>
    <s v="Espresso Martini"/>
    <s v="Sliders"/>
    <x v="1"/>
    <x v="1"/>
    <s v="Exclusive access to new beers/cocktails added to menu"/>
  </r>
  <r>
    <n v="3"/>
    <d v="2026-04-08T15:26:44"/>
    <d v="2026-04-08T15:28:39"/>
    <d v="1899-12-30T00:01:55"/>
    <s v="jnavarroservin@my.yearupunited.org"/>
    <x v="2"/>
    <m/>
    <s v="Daily"/>
    <s v="Gatherings (Friend meet ups/socializing)"/>
    <x v="1"/>
    <x v="2"/>
    <x v="1"/>
    <x v="0"/>
    <s v="Neutral"/>
    <s v="Neutral"/>
    <s v="Extremely satisfied"/>
    <s v="Extremely satisfied"/>
    <s v="Satisfied"/>
    <s v="Extremely satisfied"/>
    <s v="Dissatisfied"/>
    <s v="Pour Decisions Margarita"/>
    <s v="hot wings"/>
    <x v="2"/>
    <x v="2"/>
    <s v="Birthday drink of choice"/>
  </r>
  <r>
    <n v="4"/>
    <d v="2026-04-08T15:32:36"/>
    <d v="2026-04-08T15:39:40"/>
    <d v="1899-12-30T00:07:04"/>
    <s v="tarista@my.yearupunited.org"/>
    <x v="3"/>
    <m/>
    <s v="Weekly"/>
    <s v="Drinks + Food"/>
    <x v="1"/>
    <x v="2"/>
    <x v="1"/>
    <x v="1"/>
    <s v="Neutral"/>
    <s v="Neutral"/>
    <s v="Dissatisfied"/>
    <s v="Extremely satisfied"/>
    <s v="Neutral"/>
    <s v="Extremely satisfied"/>
    <s v="Neutral"/>
    <s v="dirty martini "/>
    <s v="add martini flights"/>
    <x v="1"/>
    <x v="0"/>
    <s v="Free drink after a certain number of visits"/>
  </r>
  <r>
    <n v="5"/>
    <d v="2026-04-08T17:47:44"/>
    <d v="2026-04-08T17:49:40"/>
    <d v="1899-12-30T00:01:56"/>
    <s v="jalmarazflores@my.yearupunited.org"/>
    <x v="4"/>
    <m/>
    <s v="First time!"/>
    <s v="Drinks + Food"/>
    <x v="0"/>
    <x v="2"/>
    <x v="0"/>
    <x v="1"/>
    <s v="Satisfied"/>
    <s v="Satisfied"/>
    <s v="Neutral"/>
    <s v="Satisfied"/>
    <s v="Dissatisfied"/>
    <s v="Neutral"/>
    <s v="Neutral"/>
    <s v="Margarita"/>
    <s v="Frozen margarita"/>
    <x v="0"/>
    <x v="2"/>
    <s v="Free drink after a certain number of visits"/>
  </r>
  <r>
    <n v="6"/>
    <d v="2026-04-08T19:43:12"/>
    <d v="2026-04-08T19:45:36"/>
    <d v="1899-12-30T00:02:24"/>
    <s v="ssimsek@my.yearupunited.org"/>
    <x v="5"/>
    <m/>
    <s v="Monthly"/>
    <s v="Gatherings (Friend meet ups/socializing)"/>
    <x v="2"/>
    <x v="2"/>
    <x v="0"/>
    <x v="2"/>
    <s v="Dissatisfied"/>
    <s v="Dissatisfied"/>
    <s v="Satisfied"/>
    <s v="Satisfied"/>
    <s v="Neutral"/>
    <s v="Satisfied"/>
    <s v="Satisfied"/>
    <s v="spicy margarita"/>
    <s v="mezcalita"/>
    <x v="3"/>
    <x v="1"/>
    <s v="Discounted appetizers/food"/>
  </r>
  <r>
    <n v="7"/>
    <d v="2026-04-08T21:32:19"/>
    <d v="2026-04-08T21:35:49"/>
    <d v="1899-12-30T00:03:30"/>
    <s v="kmarsh1@my.yearupunited.org"/>
    <x v="6"/>
    <m/>
    <s v="A few times per week"/>
    <s v="Drinks + Food"/>
    <x v="1"/>
    <x v="2"/>
    <x v="1"/>
    <x v="0"/>
    <s v="Extremely satisfied"/>
    <s v="Neutral"/>
    <s v="Extremely satisfied"/>
    <s v="Extremely satisfied"/>
    <s v="Extremely satisfied"/>
    <s v="Satisfied"/>
    <s v="Extremely satisfied"/>
    <s v="A double shot lime margarita with a splash of patron"/>
    <s v="Maybe beer battered chicken tenders"/>
    <x v="4"/>
    <x v="2"/>
    <s v="Discounted appetizers/food"/>
  </r>
  <r>
    <n v="8"/>
    <d v="2026-04-09T10:24:29"/>
    <d v="2026-04-09T10:26:51"/>
    <d v="1899-12-30T00:02:22"/>
    <s v="asago@my.yearupunited.org"/>
    <x v="7"/>
    <m/>
    <s v="Weekly"/>
    <s v="Drinks + Food"/>
    <x v="0"/>
    <x v="2"/>
    <x v="0"/>
    <x v="2"/>
    <s v="Satisfied"/>
    <s v="Satisfied"/>
    <s v="Dissatisfied"/>
    <s v="Extremely satisfied"/>
    <s v="Satisfied"/>
    <s v="Neutral"/>
    <s v="Neutral"/>
    <s v="Mai tai and chicken wings "/>
    <s v="Bacon Cheese burgers "/>
    <x v="0"/>
    <x v="2"/>
    <s v="Discounted appetizers/food"/>
  </r>
  <r>
    <n v="9"/>
    <d v="2026-04-09T13:01:12"/>
    <d v="2026-04-09T13:04:56"/>
    <d v="1899-12-30T00:03:44"/>
    <s v="arollins@my.yearupunited.org"/>
    <x v="8"/>
    <m/>
    <s v="First time!"/>
    <s v="Gatherings (Friend meet ups/socializing)"/>
    <x v="0"/>
    <x v="3"/>
    <x v="2"/>
    <x v="2"/>
    <s v="Satisfied"/>
    <s v="Satisfied"/>
    <s v="Satisfied"/>
    <s v="Extremely satisfied"/>
    <s v="Extremely satisfied"/>
    <s v="Neutral"/>
    <s v="Neutral"/>
    <s v="I don't have a favorite. It's my first time here!"/>
    <s v="N/A"/>
    <x v="3"/>
    <x v="1"/>
    <s v="Discounted appetizers/food"/>
  </r>
  <r>
    <n v="10"/>
    <d v="2026-04-09T13:10:17"/>
    <d v="2026-04-09T13:10:52"/>
    <d v="1899-12-30T00:00:35"/>
    <s v="fbaslar@my.yearupunited.org"/>
    <x v="9"/>
    <m/>
    <s v="Daily"/>
    <s v="Drinks Only"/>
    <x v="2"/>
    <x v="2"/>
    <x v="1"/>
    <x v="1"/>
    <s v="Extremely satisfied"/>
    <s v="Satisfied"/>
    <s v="Satisfied"/>
    <s v="Extremely satisfied"/>
    <s v="Extremely satisfied"/>
    <s v="Satisfied"/>
    <s v="Dissatisfied"/>
    <s v="-"/>
    <s v="-"/>
    <x v="1"/>
    <x v="0"/>
    <s v="Members-only events"/>
  </r>
  <r>
    <n v="11"/>
    <d v="2026-04-09T13:16:27"/>
    <d v="2026-04-09T13:18:31"/>
    <d v="1899-12-30T00:02:04"/>
    <s v="aosorio@my.yearupunited.org"/>
    <x v="10"/>
    <m/>
    <s v="First time!"/>
    <s v="Drinks Only"/>
    <x v="0"/>
    <x v="0"/>
    <x v="0"/>
    <x v="0"/>
    <s v="Neutral"/>
    <s v="Dissatisfied"/>
    <s v="Satisfied"/>
    <s v="Satisfied"/>
    <s v="Neutral"/>
    <s v="Satisfied"/>
    <s v="Neutral"/>
    <s v="Corona"/>
    <s v="Bacon Cheeseburger"/>
    <x v="1"/>
    <x v="1"/>
    <s v="Discounted appetizers/food"/>
  </r>
  <r>
    <n v="12"/>
    <d v="2026-04-09T13:35:00"/>
    <d v="2026-04-09T13:36:30"/>
    <d v="1899-12-30T00:01:30"/>
    <s v="cugur@my.yearupunited.org"/>
    <x v="11"/>
    <m/>
    <s v="First time!"/>
    <s v="Gatherings (Friend meet ups/socializing)"/>
    <x v="2"/>
    <x v="3"/>
    <x v="0"/>
    <x v="0"/>
    <s v="Extremely satisfied"/>
    <s v="Satisfied"/>
    <s v="Extremely satisfied"/>
    <s v="Satisfied"/>
    <s v="Satisfied"/>
    <s v="Satisfied"/>
    <s v="Extremely satisfied"/>
    <s v="wings"/>
    <s v="nothing"/>
    <x v="0"/>
    <x v="1"/>
    <s v="Discounted appetizers/food"/>
  </r>
  <r>
    <n v="13"/>
    <d v="2026-04-09T13:36:45"/>
    <d v="2026-04-09T13:39:57"/>
    <d v="1899-12-30T00:03:12"/>
    <s v="ktesema@my.yearupunited.org"/>
    <x v="12"/>
    <m/>
    <s v="Daily"/>
    <s v="Drinks + Food"/>
    <x v="0"/>
    <x v="0"/>
    <x v="1"/>
    <x v="1"/>
    <s v="Satisfied"/>
    <s v="Neutral"/>
    <s v="Neutral"/>
    <s v="Extremely satisfied"/>
    <s v="Extremely satisfied"/>
    <s v="Extremely satisfied"/>
    <s v="Satisfied"/>
    <s v="italian beef with jägermeister"/>
    <m/>
    <x v="2"/>
    <x v="2"/>
    <s v="Free drink after a certain number of visits"/>
  </r>
  <r>
    <n v="14"/>
    <d v="2026-04-09T13:41:42"/>
    <d v="2026-04-09T13:42:36"/>
    <d v="1899-12-30T00:00:54"/>
    <s v="msaeday@my.yearupunited.org"/>
    <x v="13"/>
    <m/>
    <s v="A few times per week"/>
    <s v="Drinks Only"/>
    <x v="3"/>
    <x v="2"/>
    <x v="0"/>
    <x v="1"/>
    <s v="Neutral"/>
    <s v="Satisfied"/>
    <s v="Extremely satisfied"/>
    <s v="Extremely satisfied"/>
    <s v="Extremely satisfied"/>
    <s v="Satisfied"/>
    <s v="Satisfied"/>
    <m/>
    <m/>
    <x v="4"/>
    <x v="2"/>
    <s v="Discounted appetizers/food"/>
  </r>
  <r>
    <n v="15"/>
    <d v="2026-04-09T13:43:26"/>
    <d v="2026-04-09T13:47:56"/>
    <d v="1899-12-30T00:04:30"/>
    <s v="pmartinez@my.yearupunited.org"/>
    <x v="14"/>
    <m/>
    <s v="A few times per week"/>
    <s v="Drinks + Food"/>
    <x v="0"/>
    <x v="0"/>
    <x v="0"/>
    <x v="0"/>
    <s v="Neutral"/>
    <s v="Satisfied"/>
    <s v="Extremely satisfied"/>
    <s v="Extremely satisfied"/>
    <s v="Extremely satisfied"/>
    <s v="Satisfied"/>
    <s v="Neutral"/>
    <s v="The house beer "/>
    <s v="I would like to see more combo deals "/>
    <x v="0"/>
    <x v="0"/>
    <s v="Discounted appetizers/food"/>
  </r>
  <r>
    <n v="16"/>
    <d v="2026-04-09T13:49:47"/>
    <d v="2026-04-09T13:51:58"/>
    <d v="1899-12-30T00:02:11"/>
    <s v="rmengesha@my.yearupunited.org"/>
    <x v="15"/>
    <m/>
    <s v="Weekly"/>
    <s v="Drinks Only"/>
    <x v="0"/>
    <x v="2"/>
    <x v="1"/>
    <x v="2"/>
    <s v="Satisfied"/>
    <s v="Extremely satisfied"/>
    <s v="Satisfied"/>
    <s v="Neutral"/>
    <s v="Satisfied"/>
    <s v="Extremely satisfied"/>
    <s v="Satisfied"/>
    <s v="dirty martini "/>
    <s v="lychee martini"/>
    <x v="4"/>
    <x v="0"/>
    <s v="Birthday drink of choice"/>
  </r>
  <r>
    <n v="17"/>
    <d v="2026-04-09T13:52:51"/>
    <d v="2026-04-09T13:53:35"/>
    <d v="1899-12-30T00:00:44"/>
    <s v="wpoindexter@my.yearupunited.org"/>
    <x v="16"/>
    <m/>
    <s v="First time!"/>
    <s v="Drinks Only"/>
    <x v="0"/>
    <x v="2"/>
    <x v="0"/>
    <x v="2"/>
    <s v="Neutral"/>
    <s v="Neutral"/>
    <s v="Neutral"/>
    <s v="Neutral"/>
    <s v="Neutral"/>
    <s v="Neutral"/>
    <s v="Neutral"/>
    <s v="Espresso Martini"/>
    <s v="none"/>
    <x v="0"/>
    <x v="2"/>
    <s v="Birthday drink of choice"/>
  </r>
  <r>
    <n v="18"/>
    <d v="2026-04-09T13:53:39"/>
    <d v="2026-04-09T13:55:19"/>
    <d v="1899-12-30T00:01:40"/>
    <s v="gmutize@my.yearupunited.org"/>
    <x v="17"/>
    <m/>
    <s v="Daily"/>
    <s v="Drinks Only"/>
    <x v="2"/>
    <x v="1"/>
    <x v="1"/>
    <x v="0"/>
    <s v="Extremely satisfied"/>
    <s v="Extremely satisfied"/>
    <s v="Satisfied"/>
    <s v="Extremely satisfied"/>
    <s v="Extremely satisfied"/>
    <s v="Extremely satisfied"/>
    <s v="Extremely satisfied"/>
    <s v="Cocktail"/>
    <s v="Margarita"/>
    <x v="4"/>
    <x v="2"/>
    <s v="Birthday drink of choice"/>
  </r>
  <r>
    <n v="19"/>
    <d v="2026-04-09T13:53:40"/>
    <d v="2026-04-09T13:55:26"/>
    <d v="1899-12-30T00:01:46"/>
    <s v="edebero@my.yearupunited.org"/>
    <x v="18"/>
    <m/>
    <s v="First time!"/>
    <s v="Drinks + Food"/>
    <x v="2"/>
    <x v="3"/>
    <x v="0"/>
    <x v="0"/>
    <s v="Satisfied"/>
    <s v="Satisfied"/>
    <s v="Satisfied"/>
    <s v="Satisfied"/>
    <s v="Satisfied"/>
    <s v="Satisfied"/>
    <s v="Satisfied"/>
    <s v="I don’t have a favorite yet since this is my first visit."/>
    <s v="More variety in food and drink options would be great."/>
    <x v="2"/>
    <x v="2"/>
    <s v="Birthday drink of choice"/>
  </r>
  <r>
    <n v="20"/>
    <d v="2026-04-09T13:54:23"/>
    <d v="2026-04-09T13:57:40"/>
    <d v="1899-12-30T00:03:17"/>
    <s v="tjuarez@my.yearupunited.org"/>
    <x v="19"/>
    <m/>
    <s v="Weekly"/>
    <s v="Drinks + Food"/>
    <x v="0"/>
    <x v="1"/>
    <x v="1"/>
    <x v="0"/>
    <s v="Extremely satisfied"/>
    <s v="Neutral"/>
    <s v="Extremely satisfied"/>
    <s v="Satisfied"/>
    <s v="Extremely satisfied"/>
    <s v="Extremely satisfied"/>
    <s v="Extremely satisfied"/>
    <s v="the House Ale"/>
    <s v="Add spicy honey wings"/>
    <x v="4"/>
    <x v="2"/>
    <s v="Discounted appetizers/food"/>
  </r>
  <r>
    <n v="21"/>
    <d v="2026-04-09T14:12:00"/>
    <d v="2026-04-09T14:12:23"/>
    <d v="1899-12-30T00:00:23"/>
    <s v="lpham1@my.yearupunited.org"/>
    <x v="20"/>
    <m/>
    <m/>
    <m/>
    <x v="4"/>
    <x v="4"/>
    <x v="2"/>
    <x v="0"/>
    <s v="Dissatisfied"/>
    <s v="Neutral"/>
    <s v="Dissatisfied"/>
    <s v="Neutral"/>
    <s v="Satisfied"/>
    <s v="Extremely satisfied"/>
    <s v="Extremely satisfied"/>
    <m/>
    <m/>
    <x v="5"/>
    <x v="1"/>
    <s v="Free drink after a certain number of visi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D9B3F-0FC6-465D-BCE4-694CA417E91F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6:B50" firstHeaderRow="1" firstDataRow="1" firstDataCol="1"/>
  <pivotFields count="25">
    <pivotField showAll="0"/>
    <pivotField numFmtId="165" showAll="0"/>
    <pivotField numFmtId="165" showAll="0"/>
    <pivotField numFmtId="45" showAll="0"/>
    <pivotField showAll="0"/>
    <pivotField showAll="0">
      <items count="22">
        <item x="10"/>
        <item x="7"/>
        <item x="8"/>
        <item x="1"/>
        <item x="11"/>
        <item x="18"/>
        <item x="9"/>
        <item x="17"/>
        <item x="2"/>
        <item x="4"/>
        <item x="12"/>
        <item x="6"/>
        <item x="20"/>
        <item x="13"/>
        <item x="0"/>
        <item x="14"/>
        <item x="15"/>
        <item x="5"/>
        <item x="19"/>
        <item x="3"/>
        <item x="16"/>
        <item t="default"/>
      </items>
    </pivotField>
    <pivotField showAll="0"/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dataField="1" showAll="0">
      <items count="4">
        <item x="1"/>
        <item x="2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rink Quality" fld="11" subtotal="count" baseField="0" baseItem="0"/>
  </dataFields>
  <chartFormats count="1">
    <chartFormat chart="0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3D533-3510-4BA7-A458-20D38933B24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2:B28" firstHeaderRow="1" firstDataRow="1" firstDataCol="1"/>
  <pivotFields count="25">
    <pivotField showAll="0"/>
    <pivotField numFmtId="165" showAll="0"/>
    <pivotField numFmtId="165" showAll="0"/>
    <pivotField numFmtId="45"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74A35-400B-4770-A604-079DF218958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8" firstHeaderRow="1" firstDataRow="1" firstDataCol="1"/>
  <pivotFields count="25">
    <pivotField showAll="0"/>
    <pivotField numFmtId="165" showAll="0"/>
    <pivotField numFmtId="165" showAll="0"/>
    <pivotField numFmtId="45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0"/>
        <item x="2"/>
        <item x="4"/>
        <item x="5"/>
        <item t="default"/>
      </items>
    </pivotField>
    <pivotField showAll="0">
      <items count="4">
        <item x="2"/>
        <item x="1"/>
        <item x="0"/>
        <item t="default"/>
      </items>
    </pivotField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23" totalsRowCount="1">
  <autoFilter ref="A1:Y22" xr:uid="{00000000-0009-0000-0100-000001000000}"/>
  <tableColumns count="25">
    <tableColumn id="1" xr3:uid="{00000000-0010-0000-0000-000001000000}" name="ID" totalsRowFunction="custom" dataDxfId="49" totalsRowDxfId="24">
      <totalsRowFormula>COUNT(Table1[ID])</totalsRowFormula>
    </tableColumn>
    <tableColumn id="2" xr3:uid="{00000000-0010-0000-0000-000002000000}" name="Start time" dataDxfId="48" totalsRowDxfId="23"/>
    <tableColumn id="3" xr3:uid="{00000000-0010-0000-0000-000003000000}" name="Completion time" dataDxfId="47" totalsRowDxfId="22"/>
    <tableColumn id="25" xr3:uid="{C1241FB2-EBA6-454D-B8F9-A7A81A8B82E7}" name="Time to Complete" totalsRowFunction="custom" dataDxfId="46" totalsRowDxfId="21">
      <calculatedColumnFormula>C2-B2</calculatedColumnFormula>
      <totalsRowFormula>AVERAGE(D2:D22)</totalsRowFormula>
    </tableColumn>
    <tableColumn id="4" xr3:uid="{00000000-0010-0000-0000-000004000000}" name="Email" dataDxfId="45" totalsRowDxfId="20"/>
    <tableColumn id="5" xr3:uid="{00000000-0010-0000-0000-000005000000}" name="Name" dataDxfId="44" totalsRowDxfId="19"/>
    <tableColumn id="6" xr3:uid="{00000000-0010-0000-0000-000006000000}" name="Last modified time" dataDxfId="43" totalsRowDxfId="18"/>
    <tableColumn id="7" xr3:uid="{00000000-0010-0000-0000-000007000000}" name="How often do you visit Pour Judgement?" totalsRowFunction="custom" dataDxfId="42" totalsRowDxfId="17">
      <totalsRowFormula>COUNTIF(H2:H22, "First time!")</totalsRowFormula>
    </tableColumn>
    <tableColumn id="8" xr3:uid="{00000000-0010-0000-0000-000008000000}" name="What brings you into Pour Judgement usually?" totalsRowFunction="custom" dataDxfId="41" totalsRowDxfId="16">
      <totalsRowFormula>COUNTIF(I2:I22, "Drinks + Food")</totalsRowFormula>
    </tableColumn>
    <tableColumn id="9" xr3:uid="{00000000-0010-0000-0000-000009000000}" name="How much do you spend at Pour Judgement typically?" totalsRowFunction="custom" dataDxfId="40" totalsRowDxfId="15">
      <totalsRowFormula>COUNTIF(J2:J22,"$20 - $40")</totalsRowFormula>
    </tableColumn>
    <tableColumn id="10" xr3:uid="{00000000-0010-0000-0000-00000A000000}" name="What do you normally purchase at Pour Judgement?" totalsRowFunction="custom" dataDxfId="39" totalsRowDxfId="14">
      <totalsRowFormula>COUNTIF(K2:K22, "Cocktails")</totalsRowFormula>
    </tableColumn>
    <tableColumn id="11" xr3:uid="{00000000-0010-0000-0000-00000B000000}" name="Drink Quality" totalsRowFunction="custom" dataDxfId="38" totalsRowDxfId="13">
      <totalsRowFormula array="1">AVERAGE(_xlfn.SWITCH(L$2:L$22,"Extremely dissatisfied", 0, "Dissatisfied", 1, "Neutral", 2, "Satisfied", 3, "Extremely satisfied", "4"))</totalsRowFormula>
    </tableColumn>
    <tableColumn id="12" xr3:uid="{00000000-0010-0000-0000-00000C000000}" name="Drink Selection" totalsRowFunction="custom" dataDxfId="37" totalsRowDxfId="12">
      <totalsRowFormula array="1">AVERAGE(_xlfn.SWITCH(M$2:M$22,"Extremely dissatisfied", 0, "Dissatisfied", 1, "Neutral", 2, "Satisfied", 3, "Extremely satisfied", "4"))</totalsRowFormula>
    </tableColumn>
    <tableColumn id="13" xr3:uid="{00000000-0010-0000-0000-00000D000000}" name="Food Quality" totalsRowFunction="custom" dataDxfId="36" totalsRowDxfId="11">
      <totalsRowFormula array="1">AVERAGE(_xlfn.SWITCH(N$2:N$22,"Extremely dissatisfied", 0, "Dissatisfied", 1, "Neutral", 2, "Satisfied", 3, "Extremely satisfied", "4"))</totalsRowFormula>
    </tableColumn>
    <tableColumn id="14" xr3:uid="{00000000-0010-0000-0000-00000E000000}" name="Portion Size" totalsRowFunction="custom" dataDxfId="35" totalsRowDxfId="10">
      <totalsRowFormula array="1">AVERAGE(_xlfn.SWITCH(O$2:O$22,"Extremely dissatisfied", 0, "Dissatisfied", 1, "Neutral", 2, "Satisfied", 3, "Extremely satisfied", "4"))</totalsRowFormula>
    </tableColumn>
    <tableColumn id="15" xr3:uid="{00000000-0010-0000-0000-00000F000000}" name="Speed of Service" totalsRowFunction="custom" dataDxfId="34" totalsRowDxfId="9">
      <totalsRowFormula array="1">AVERAGE(_xlfn.SWITCH(P$2:P$22,"Extremely dissatisfied", 0, "Dissatisfied", 1, "Neutral", 2, "Satisfied", 3, "Extremely satisfied", "4"))</totalsRowFormula>
    </tableColumn>
    <tableColumn id="16" xr3:uid="{00000000-0010-0000-0000-000010000000}" name="Bartender Friendliness" totalsRowFunction="custom" dataDxfId="33" totalsRowDxfId="8">
      <totalsRowFormula array="1">AVERAGE(_xlfn.SWITCH(Q$2:Q$22,"Extremely dissatisfied", 0, "Dissatisfied", 1, "Neutral", 2, "Satisfied", 3, "Extremely satisfied", "4"))</totalsRowFormula>
    </tableColumn>
    <tableColumn id="17" xr3:uid="{00000000-0010-0000-0000-000011000000}" name="Cleanliness" totalsRowFunction="custom" dataDxfId="32" totalsRowDxfId="7">
      <totalsRowFormula array="1">AVERAGE(_xlfn.SWITCH(R$2:R$22,"Extremely dissatisfied", 0, "Dissatisfied", 1, "Neutral", 2, "Satisfied", 3, "Extremely satisfied", "4"))</totalsRowFormula>
    </tableColumn>
    <tableColumn id="18" xr3:uid="{00000000-0010-0000-0000-000012000000}" name="Ambient/Music" totalsRowFunction="custom" dataDxfId="31" totalsRowDxfId="6">
      <totalsRowFormula array="1">AVERAGE(_xlfn.SWITCH(S$2:S$22,"Extremely dissatisfied", 0, "Dissatisfied", 1, "Neutral", 2, "Satisfied", 3, "Extremely satisfied", "4"))</totalsRowFormula>
    </tableColumn>
    <tableColumn id="19" xr3:uid="{00000000-0010-0000-0000-000013000000}" name="Pricing" totalsRowFunction="custom" dataDxfId="30" totalsRowDxfId="5">
      <totalsRowFormula array="1">AVERAGE(_xlfn.SWITCH(T$2:T$22,"Extremely dissatisfied", 0, "Dissatisfied", 1, "Neutral", 2, "Satisfied", 3, "Extremely satisfied", "4"))</totalsRowFormula>
    </tableColumn>
    <tableColumn id="20" xr3:uid="{00000000-0010-0000-0000-000014000000}" name="What is your favorite drink/food item at Pour Judgement?" dataDxfId="29" totalsRowDxfId="4"/>
    <tableColumn id="21" xr3:uid="{00000000-0010-0000-0000-000015000000}" name="Do you have any suggestions you would like to be added to the menu (drink/food)?" dataDxfId="28" totalsRowDxfId="3"/>
    <tableColumn id="22" xr3:uid="{00000000-0010-0000-0000-000016000000}" name="How likely are you to recommend Pour Judgement to a friend or colleague?" totalsRowFunction="custom" dataDxfId="27" totalsRowDxfId="2">
      <totalsRowFormula>AVERAGE(W7:W22)</totalsRowFormula>
    </tableColumn>
    <tableColumn id="23" xr3:uid="{00000000-0010-0000-0000-000017000000}" name="How interested would you be in joining Pour Judgement's rewards program?" totalsRowFunction="custom" dataDxfId="26" totalsRowDxfId="1">
      <totalsRowFormula>COUNTIF(X2:X22, "Extremely interested!")</totalsRowFormula>
    </tableColumn>
    <tableColumn id="24" xr3:uid="{00000000-0010-0000-0000-000018000000}" name="Which perks would you be interested the most? (Select up to 2)" totalsRowFunction="custom" dataDxfId="25" totalsRowDxfId="0">
      <totalsRowFormula>COUNTIF(Y2:Y22, "Discounted appetizers/food")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"/>
  <sheetViews>
    <sheetView tabSelected="1" topLeftCell="H1" zoomScale="60" zoomScaleNormal="60" workbookViewId="0">
      <selection activeCell="I25" sqref="I25"/>
    </sheetView>
  </sheetViews>
  <sheetFormatPr defaultRowHeight="14.4" x14ac:dyDescent="0.3"/>
  <cols>
    <col min="1" max="1" width="20" bestFit="1" customWidth="1"/>
    <col min="2" max="2" width="20" style="3" bestFit="1" customWidth="1"/>
    <col min="3" max="3" width="20" bestFit="1" customWidth="1"/>
    <col min="4" max="4" width="20" customWidth="1"/>
    <col min="5" max="13" width="20" bestFit="1" customWidth="1"/>
    <col min="14" max="14" width="25.88671875" customWidth="1"/>
    <col min="15" max="24" width="20" bestFit="1" customWidth="1"/>
    <col min="25" max="25" width="79.88671875" bestFit="1" customWidth="1"/>
  </cols>
  <sheetData>
    <row r="1" spans="1:25" x14ac:dyDescent="0.3">
      <c r="A1" t="s">
        <v>0</v>
      </c>
      <c r="B1" s="3" t="s">
        <v>1</v>
      </c>
      <c r="C1" t="s">
        <v>2</v>
      </c>
      <c r="D1" t="s">
        <v>125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1</v>
      </c>
      <c r="B2" s="3">
        <v>46120.547453703701</v>
      </c>
      <c r="C2" s="3">
        <v>46120.548368055599</v>
      </c>
      <c r="D2" s="4">
        <f t="shared" ref="D2:D22" si="0">C2-B2</f>
        <v>9.1435189824551344E-4</v>
      </c>
      <c r="E2" t="s">
        <v>24</v>
      </c>
      <c r="F2" t="s">
        <v>25</v>
      </c>
      <c r="G2" s="1"/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 t="s">
        <v>32</v>
      </c>
      <c r="P2" t="s">
        <v>126</v>
      </c>
      <c r="Q2" t="s">
        <v>127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>
        <v>8</v>
      </c>
      <c r="X2" t="s">
        <v>35</v>
      </c>
      <c r="Y2" t="s">
        <v>36</v>
      </c>
    </row>
    <row r="3" spans="1:25" x14ac:dyDescent="0.3">
      <c r="A3">
        <v>2</v>
      </c>
      <c r="B3" s="3">
        <v>46120.576585648101</v>
      </c>
      <c r="C3" s="3">
        <v>46120.578310185199</v>
      </c>
      <c r="D3" s="4">
        <f t="shared" si="0"/>
        <v>1.7245370981981978E-3</v>
      </c>
      <c r="E3" t="s">
        <v>37</v>
      </c>
      <c r="F3" t="s">
        <v>38</v>
      </c>
      <c r="G3" s="1"/>
      <c r="H3" t="s">
        <v>26</v>
      </c>
      <c r="I3" t="s">
        <v>39</v>
      </c>
      <c r="J3" t="s">
        <v>40</v>
      </c>
      <c r="K3" t="s">
        <v>41</v>
      </c>
      <c r="L3" t="s">
        <v>30</v>
      </c>
      <c r="M3" t="s">
        <v>30</v>
      </c>
      <c r="N3" t="s">
        <v>31</v>
      </c>
      <c r="O3" t="s">
        <v>32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42</v>
      </c>
      <c r="V3" t="s">
        <v>43</v>
      </c>
      <c r="W3">
        <v>7</v>
      </c>
      <c r="X3" t="s">
        <v>44</v>
      </c>
      <c r="Y3" t="s">
        <v>45</v>
      </c>
    </row>
    <row r="4" spans="1:25" x14ac:dyDescent="0.3">
      <c r="A4">
        <v>3</v>
      </c>
      <c r="B4" s="3">
        <v>46120.643564814804</v>
      </c>
      <c r="C4" s="3">
        <v>46120.644895833299</v>
      </c>
      <c r="D4" s="4">
        <f t="shared" si="0"/>
        <v>1.3310184949659742E-3</v>
      </c>
      <c r="E4" t="s">
        <v>46</v>
      </c>
      <c r="F4" t="s">
        <v>47</v>
      </c>
      <c r="G4" s="1"/>
      <c r="H4" t="s">
        <v>48</v>
      </c>
      <c r="I4" t="s">
        <v>27</v>
      </c>
      <c r="J4" t="s">
        <v>40</v>
      </c>
      <c r="K4" t="s">
        <v>49</v>
      </c>
      <c r="L4" t="s">
        <v>31</v>
      </c>
      <c r="M4" t="s">
        <v>30</v>
      </c>
      <c r="N4" t="s">
        <v>32</v>
      </c>
      <c r="O4" t="s">
        <v>32</v>
      </c>
      <c r="P4" t="s">
        <v>31</v>
      </c>
      <c r="Q4" t="s">
        <v>31</v>
      </c>
      <c r="R4" t="s">
        <v>30</v>
      </c>
      <c r="S4" t="s">
        <v>31</v>
      </c>
      <c r="T4" t="s">
        <v>126</v>
      </c>
      <c r="U4" t="s">
        <v>50</v>
      </c>
      <c r="V4" t="s">
        <v>51</v>
      </c>
      <c r="W4">
        <v>9</v>
      </c>
      <c r="X4" t="s">
        <v>52</v>
      </c>
      <c r="Y4" t="s">
        <v>53</v>
      </c>
    </row>
    <row r="5" spans="1:25" x14ac:dyDescent="0.3">
      <c r="A5">
        <v>4</v>
      </c>
      <c r="B5" s="3">
        <v>46120.647638888899</v>
      </c>
      <c r="C5" s="3">
        <v>46120.652546296304</v>
      </c>
      <c r="D5" s="4">
        <f t="shared" si="0"/>
        <v>4.907407404971309E-3</v>
      </c>
      <c r="E5" t="s">
        <v>54</v>
      </c>
      <c r="F5" t="s">
        <v>55</v>
      </c>
      <c r="G5" s="1"/>
      <c r="H5" t="s">
        <v>56</v>
      </c>
      <c r="I5" t="s">
        <v>39</v>
      </c>
      <c r="J5" t="s">
        <v>40</v>
      </c>
      <c r="K5" t="s">
        <v>49</v>
      </c>
      <c r="L5" t="s">
        <v>31</v>
      </c>
      <c r="M5" t="s">
        <v>31</v>
      </c>
      <c r="N5" t="s">
        <v>32</v>
      </c>
      <c r="O5" t="s">
        <v>32</v>
      </c>
      <c r="P5" t="s">
        <v>126</v>
      </c>
      <c r="Q5" t="s">
        <v>31</v>
      </c>
      <c r="R5" t="s">
        <v>32</v>
      </c>
      <c r="S5" t="s">
        <v>31</v>
      </c>
      <c r="T5" t="s">
        <v>32</v>
      </c>
      <c r="U5" t="s">
        <v>57</v>
      </c>
      <c r="V5" t="s">
        <v>58</v>
      </c>
      <c r="W5">
        <v>7</v>
      </c>
      <c r="X5" t="s">
        <v>35</v>
      </c>
      <c r="Y5" t="s">
        <v>59</v>
      </c>
    </row>
    <row r="6" spans="1:25" x14ac:dyDescent="0.3">
      <c r="A6">
        <v>5</v>
      </c>
      <c r="B6" s="3">
        <v>46120.741481481498</v>
      </c>
      <c r="C6" s="3">
        <v>46120.742824074099</v>
      </c>
      <c r="D6" s="4">
        <f t="shared" si="0"/>
        <v>1.3425926008494571E-3</v>
      </c>
      <c r="E6" t="s">
        <v>60</v>
      </c>
      <c r="F6" t="s">
        <v>61</v>
      </c>
      <c r="G6" s="1"/>
      <c r="H6" t="s">
        <v>62</v>
      </c>
      <c r="I6" t="s">
        <v>39</v>
      </c>
      <c r="J6" t="s">
        <v>28</v>
      </c>
      <c r="K6" t="s">
        <v>49</v>
      </c>
      <c r="L6" t="s">
        <v>30</v>
      </c>
      <c r="M6" t="s">
        <v>31</v>
      </c>
      <c r="N6" t="s">
        <v>30</v>
      </c>
      <c r="O6" t="s">
        <v>30</v>
      </c>
      <c r="P6" t="s">
        <v>32</v>
      </c>
      <c r="Q6" t="s">
        <v>30</v>
      </c>
      <c r="R6" t="s">
        <v>126</v>
      </c>
      <c r="S6" t="s">
        <v>32</v>
      </c>
      <c r="T6" t="s">
        <v>32</v>
      </c>
      <c r="U6" t="s">
        <v>63</v>
      </c>
      <c r="V6" t="s">
        <v>64</v>
      </c>
      <c r="W6">
        <v>8</v>
      </c>
      <c r="X6" t="s">
        <v>52</v>
      </c>
      <c r="Y6" t="s">
        <v>59</v>
      </c>
    </row>
    <row r="7" spans="1:25" x14ac:dyDescent="0.3">
      <c r="A7">
        <v>6</v>
      </c>
      <c r="B7" s="3">
        <v>46120.821666666699</v>
      </c>
      <c r="C7" s="3">
        <v>46120.823333333297</v>
      </c>
      <c r="D7" s="4">
        <f t="shared" si="0"/>
        <v>1.666666597884614E-3</v>
      </c>
      <c r="E7" t="s">
        <v>65</v>
      </c>
      <c r="F7" t="s">
        <v>66</v>
      </c>
      <c r="G7" s="1"/>
      <c r="H7" t="s">
        <v>26</v>
      </c>
      <c r="I7" t="s">
        <v>27</v>
      </c>
      <c r="J7" t="s">
        <v>67</v>
      </c>
      <c r="K7" t="s">
        <v>49</v>
      </c>
      <c r="L7" t="s">
        <v>30</v>
      </c>
      <c r="M7" t="s">
        <v>32</v>
      </c>
      <c r="N7" t="s">
        <v>126</v>
      </c>
      <c r="O7" t="s">
        <v>126</v>
      </c>
      <c r="P7" t="s">
        <v>30</v>
      </c>
      <c r="Q7" t="s">
        <v>30</v>
      </c>
      <c r="R7" t="s">
        <v>32</v>
      </c>
      <c r="S7" t="s">
        <v>30</v>
      </c>
      <c r="T7" t="s">
        <v>30</v>
      </c>
      <c r="U7" t="s">
        <v>68</v>
      </c>
      <c r="V7" t="s">
        <v>69</v>
      </c>
      <c r="W7">
        <v>6</v>
      </c>
      <c r="X7" t="s">
        <v>44</v>
      </c>
      <c r="Y7" t="s">
        <v>70</v>
      </c>
    </row>
    <row r="8" spans="1:25" x14ac:dyDescent="0.3">
      <c r="A8">
        <v>7</v>
      </c>
      <c r="B8" s="3">
        <v>46120.897442129601</v>
      </c>
      <c r="C8" s="3">
        <v>46120.899872685201</v>
      </c>
      <c r="D8" s="4">
        <f t="shared" si="0"/>
        <v>2.430555599858053E-3</v>
      </c>
      <c r="E8" t="s">
        <v>71</v>
      </c>
      <c r="F8" t="s">
        <v>72</v>
      </c>
      <c r="G8" s="1"/>
      <c r="H8" t="s">
        <v>73</v>
      </c>
      <c r="I8" t="s">
        <v>39</v>
      </c>
      <c r="J8" t="s">
        <v>40</v>
      </c>
      <c r="K8" t="s">
        <v>49</v>
      </c>
      <c r="L8" t="s">
        <v>31</v>
      </c>
      <c r="M8" t="s">
        <v>30</v>
      </c>
      <c r="N8" t="s">
        <v>31</v>
      </c>
      <c r="O8" t="s">
        <v>32</v>
      </c>
      <c r="P8" t="s">
        <v>31</v>
      </c>
      <c r="Q8" t="s">
        <v>31</v>
      </c>
      <c r="R8" t="s">
        <v>31</v>
      </c>
      <c r="S8" t="s">
        <v>30</v>
      </c>
      <c r="T8" t="s">
        <v>31</v>
      </c>
      <c r="U8" t="s">
        <v>74</v>
      </c>
      <c r="V8" t="s">
        <v>75</v>
      </c>
      <c r="W8">
        <v>10</v>
      </c>
      <c r="X8" t="s">
        <v>52</v>
      </c>
      <c r="Y8" t="s">
        <v>70</v>
      </c>
    </row>
    <row r="9" spans="1:25" x14ac:dyDescent="0.3">
      <c r="A9">
        <v>8</v>
      </c>
      <c r="B9" s="3">
        <v>46121.433668981503</v>
      </c>
      <c r="C9" s="3">
        <v>46121.435312499998</v>
      </c>
      <c r="D9" s="4">
        <f t="shared" si="0"/>
        <v>1.6435184952570125E-3</v>
      </c>
      <c r="E9" t="s">
        <v>76</v>
      </c>
      <c r="F9" t="s">
        <v>77</v>
      </c>
      <c r="G9" s="1"/>
      <c r="H9" t="s">
        <v>56</v>
      </c>
      <c r="I9" t="s">
        <v>39</v>
      </c>
      <c r="J9" t="s">
        <v>28</v>
      </c>
      <c r="K9" t="s">
        <v>49</v>
      </c>
      <c r="L9" t="s">
        <v>30</v>
      </c>
      <c r="M9" t="s">
        <v>32</v>
      </c>
      <c r="N9" t="s">
        <v>30</v>
      </c>
      <c r="O9" t="s">
        <v>30</v>
      </c>
      <c r="P9" t="s">
        <v>126</v>
      </c>
      <c r="Q9" t="s">
        <v>31</v>
      </c>
      <c r="R9" t="s">
        <v>30</v>
      </c>
      <c r="S9" t="s">
        <v>32</v>
      </c>
      <c r="T9" t="s">
        <v>32</v>
      </c>
      <c r="U9" t="s">
        <v>78</v>
      </c>
      <c r="V9" t="s">
        <v>79</v>
      </c>
      <c r="W9">
        <v>8</v>
      </c>
      <c r="X9" t="s">
        <v>52</v>
      </c>
      <c r="Y9" t="s">
        <v>70</v>
      </c>
    </row>
    <row r="10" spans="1:25" x14ac:dyDescent="0.3">
      <c r="A10">
        <v>9</v>
      </c>
      <c r="B10" s="3">
        <v>46121.542500000003</v>
      </c>
      <c r="C10" s="3">
        <v>46121.545092592598</v>
      </c>
      <c r="D10" s="4">
        <f t="shared" si="0"/>
        <v>2.5925925947376527E-3</v>
      </c>
      <c r="E10" t="s">
        <v>80</v>
      </c>
      <c r="F10" t="s">
        <v>81</v>
      </c>
      <c r="G10" s="1"/>
      <c r="H10" t="s">
        <v>62</v>
      </c>
      <c r="I10" t="s">
        <v>27</v>
      </c>
      <c r="J10" t="s">
        <v>28</v>
      </c>
      <c r="K10" t="s">
        <v>82</v>
      </c>
      <c r="L10" t="s">
        <v>32</v>
      </c>
      <c r="M10" t="s">
        <v>32</v>
      </c>
      <c r="N10" t="s">
        <v>30</v>
      </c>
      <c r="O10" t="s">
        <v>30</v>
      </c>
      <c r="P10" t="s">
        <v>30</v>
      </c>
      <c r="Q10" t="s">
        <v>31</v>
      </c>
      <c r="R10" t="s">
        <v>31</v>
      </c>
      <c r="S10" t="s">
        <v>32</v>
      </c>
      <c r="T10" t="s">
        <v>32</v>
      </c>
      <c r="U10" t="s">
        <v>83</v>
      </c>
      <c r="V10" t="s">
        <v>84</v>
      </c>
      <c r="W10">
        <v>6</v>
      </c>
      <c r="X10" t="s">
        <v>44</v>
      </c>
      <c r="Y10" t="s">
        <v>70</v>
      </c>
    </row>
    <row r="11" spans="1:25" x14ac:dyDescent="0.3">
      <c r="A11">
        <v>10</v>
      </c>
      <c r="B11" s="3">
        <v>46121.5488078704</v>
      </c>
      <c r="C11" s="3">
        <v>46121.549212963</v>
      </c>
      <c r="D11" s="4">
        <f t="shared" si="0"/>
        <v>4.0509259997634217E-4</v>
      </c>
      <c r="E11" t="s">
        <v>85</v>
      </c>
      <c r="F11" t="s">
        <v>86</v>
      </c>
      <c r="G11" s="1"/>
      <c r="H11" t="s">
        <v>48</v>
      </c>
      <c r="I11" t="s">
        <v>87</v>
      </c>
      <c r="J11" t="s">
        <v>67</v>
      </c>
      <c r="K11" t="s">
        <v>49</v>
      </c>
      <c r="L11" t="s">
        <v>31</v>
      </c>
      <c r="M11" t="s">
        <v>31</v>
      </c>
      <c r="N11" t="s">
        <v>31</v>
      </c>
      <c r="O11" t="s">
        <v>30</v>
      </c>
      <c r="P11" t="s">
        <v>30</v>
      </c>
      <c r="Q11" t="s">
        <v>31</v>
      </c>
      <c r="R11" t="s">
        <v>31</v>
      </c>
      <c r="S11" t="s">
        <v>30</v>
      </c>
      <c r="T11" t="s">
        <v>126</v>
      </c>
      <c r="U11" s="2" t="s">
        <v>88</v>
      </c>
      <c r="V11" s="2" t="s">
        <v>88</v>
      </c>
      <c r="W11">
        <v>7</v>
      </c>
      <c r="X11" t="s">
        <v>35</v>
      </c>
      <c r="Y11" t="s">
        <v>36</v>
      </c>
    </row>
    <row r="12" spans="1:25" x14ac:dyDescent="0.3">
      <c r="A12">
        <v>11</v>
      </c>
      <c r="B12" s="3">
        <v>46121.553090277797</v>
      </c>
      <c r="C12" s="3">
        <v>46121.554525462998</v>
      </c>
      <c r="D12" s="4">
        <f t="shared" si="0"/>
        <v>1.435185200534761E-3</v>
      </c>
      <c r="E12" t="s">
        <v>89</v>
      </c>
      <c r="F12" t="s">
        <v>90</v>
      </c>
      <c r="G12" s="1"/>
      <c r="H12" t="s">
        <v>62</v>
      </c>
      <c r="I12" t="s">
        <v>87</v>
      </c>
      <c r="J12" t="s">
        <v>28</v>
      </c>
      <c r="K12" t="s">
        <v>29</v>
      </c>
      <c r="L12" t="s">
        <v>30</v>
      </c>
      <c r="M12" t="s">
        <v>30</v>
      </c>
      <c r="N12" t="s">
        <v>32</v>
      </c>
      <c r="O12" t="s">
        <v>126</v>
      </c>
      <c r="P12" t="s">
        <v>30</v>
      </c>
      <c r="Q12" t="s">
        <v>30</v>
      </c>
      <c r="R12" t="s">
        <v>32</v>
      </c>
      <c r="S12" t="s">
        <v>30</v>
      </c>
      <c r="T12" t="s">
        <v>32</v>
      </c>
      <c r="U12" t="s">
        <v>91</v>
      </c>
      <c r="V12" t="s">
        <v>92</v>
      </c>
      <c r="W12">
        <v>7</v>
      </c>
      <c r="X12" t="s">
        <v>44</v>
      </c>
      <c r="Y12" t="s">
        <v>70</v>
      </c>
    </row>
    <row r="13" spans="1:25" x14ac:dyDescent="0.3">
      <c r="A13">
        <v>12</v>
      </c>
      <c r="B13" s="3">
        <v>46121.565972222197</v>
      </c>
      <c r="C13" s="3">
        <v>46121.567013888904</v>
      </c>
      <c r="D13" s="4">
        <f t="shared" si="0"/>
        <v>1.0416667064419016E-3</v>
      </c>
      <c r="E13" t="s">
        <v>93</v>
      </c>
      <c r="F13" t="s">
        <v>94</v>
      </c>
      <c r="G13" s="1"/>
      <c r="H13" t="s">
        <v>62</v>
      </c>
      <c r="I13" t="s">
        <v>27</v>
      </c>
      <c r="J13" t="s">
        <v>67</v>
      </c>
      <c r="K13" t="s">
        <v>82</v>
      </c>
      <c r="L13" t="s">
        <v>30</v>
      </c>
      <c r="M13" t="s">
        <v>30</v>
      </c>
      <c r="N13" t="s">
        <v>31</v>
      </c>
      <c r="O13" t="s">
        <v>30</v>
      </c>
      <c r="P13" t="s">
        <v>31</v>
      </c>
      <c r="Q13" t="s">
        <v>30</v>
      </c>
      <c r="R13" t="s">
        <v>30</v>
      </c>
      <c r="S13" t="s">
        <v>30</v>
      </c>
      <c r="T13" t="s">
        <v>31</v>
      </c>
      <c r="U13" t="s">
        <v>95</v>
      </c>
      <c r="V13" t="s">
        <v>96</v>
      </c>
      <c r="W13">
        <v>8</v>
      </c>
      <c r="X13" t="s">
        <v>44</v>
      </c>
      <c r="Y13" t="s">
        <v>70</v>
      </c>
    </row>
    <row r="14" spans="1:25" x14ac:dyDescent="0.3">
      <c r="A14">
        <v>13</v>
      </c>
      <c r="B14" s="3">
        <v>46121.567187499997</v>
      </c>
      <c r="C14" s="3">
        <v>46121.5694097222</v>
      </c>
      <c r="D14" s="4">
        <f t="shared" si="0"/>
        <v>2.2222222032723948E-3</v>
      </c>
      <c r="E14" t="s">
        <v>97</v>
      </c>
      <c r="F14" t="s">
        <v>98</v>
      </c>
      <c r="G14" s="1"/>
      <c r="H14" t="s">
        <v>48</v>
      </c>
      <c r="I14" t="s">
        <v>39</v>
      </c>
      <c r="J14" t="s">
        <v>28</v>
      </c>
      <c r="K14" t="s">
        <v>29</v>
      </c>
      <c r="L14" t="s">
        <v>31</v>
      </c>
      <c r="M14" t="s">
        <v>31</v>
      </c>
      <c r="N14" t="s">
        <v>30</v>
      </c>
      <c r="O14" t="s">
        <v>32</v>
      </c>
      <c r="P14" t="s">
        <v>32</v>
      </c>
      <c r="Q14" t="s">
        <v>31</v>
      </c>
      <c r="R14" t="s">
        <v>31</v>
      </c>
      <c r="S14" t="s">
        <v>31</v>
      </c>
      <c r="T14" t="s">
        <v>30</v>
      </c>
      <c r="U14" t="s">
        <v>99</v>
      </c>
      <c r="W14">
        <v>9</v>
      </c>
      <c r="X14" t="s">
        <v>52</v>
      </c>
      <c r="Y14" t="s">
        <v>59</v>
      </c>
    </row>
    <row r="15" spans="1:25" x14ac:dyDescent="0.3">
      <c r="A15">
        <v>14</v>
      </c>
      <c r="B15" s="3">
        <v>46121.570625</v>
      </c>
      <c r="C15" s="3">
        <v>46121.571250000001</v>
      </c>
      <c r="D15" s="4">
        <f t="shared" si="0"/>
        <v>6.2500000058207661E-4</v>
      </c>
      <c r="E15" t="s">
        <v>100</v>
      </c>
      <c r="F15" t="s">
        <v>101</v>
      </c>
      <c r="G15" s="1"/>
      <c r="H15" t="s">
        <v>73</v>
      </c>
      <c r="I15" t="s">
        <v>87</v>
      </c>
      <c r="J15" t="s">
        <v>102</v>
      </c>
      <c r="K15" t="s">
        <v>49</v>
      </c>
      <c r="L15" t="s">
        <v>30</v>
      </c>
      <c r="M15" t="s">
        <v>31</v>
      </c>
      <c r="N15" t="s">
        <v>32</v>
      </c>
      <c r="O15" t="s">
        <v>30</v>
      </c>
      <c r="P15" t="s">
        <v>31</v>
      </c>
      <c r="Q15" t="s">
        <v>31</v>
      </c>
      <c r="R15" t="s">
        <v>31</v>
      </c>
      <c r="S15" t="s">
        <v>30</v>
      </c>
      <c r="T15" t="s">
        <v>30</v>
      </c>
      <c r="W15">
        <v>10</v>
      </c>
      <c r="X15" t="s">
        <v>52</v>
      </c>
      <c r="Y15" t="s">
        <v>70</v>
      </c>
    </row>
    <row r="16" spans="1:25" x14ac:dyDescent="0.3">
      <c r="A16">
        <v>15</v>
      </c>
      <c r="B16" s="3">
        <v>46121.571828703702</v>
      </c>
      <c r="C16" s="3">
        <v>46121.574953703697</v>
      </c>
      <c r="D16" s="4">
        <f t="shared" si="0"/>
        <v>3.1249999956344254E-3</v>
      </c>
      <c r="E16" t="s">
        <v>103</v>
      </c>
      <c r="F16" t="s">
        <v>104</v>
      </c>
      <c r="G16" s="1"/>
      <c r="H16" t="s">
        <v>73</v>
      </c>
      <c r="I16" t="s">
        <v>39</v>
      </c>
      <c r="J16" t="s">
        <v>28</v>
      </c>
      <c r="K16" t="s">
        <v>29</v>
      </c>
      <c r="L16" t="s">
        <v>30</v>
      </c>
      <c r="M16" t="s">
        <v>30</v>
      </c>
      <c r="N16" t="s">
        <v>32</v>
      </c>
      <c r="O16" t="s">
        <v>30</v>
      </c>
      <c r="P16" t="s">
        <v>31</v>
      </c>
      <c r="Q16" t="s">
        <v>31</v>
      </c>
      <c r="R16" t="s">
        <v>31</v>
      </c>
      <c r="S16" t="s">
        <v>30</v>
      </c>
      <c r="T16" t="s">
        <v>32</v>
      </c>
      <c r="U16" t="s">
        <v>105</v>
      </c>
      <c r="V16" t="s">
        <v>106</v>
      </c>
      <c r="W16">
        <v>8</v>
      </c>
      <c r="X16" t="s">
        <v>35</v>
      </c>
      <c r="Y16" t="s">
        <v>70</v>
      </c>
    </row>
    <row r="17" spans="1:25" x14ac:dyDescent="0.3">
      <c r="A17">
        <v>16</v>
      </c>
      <c r="B17" s="3">
        <v>46121.5762384259</v>
      </c>
      <c r="C17" s="3">
        <v>46121.577754629601</v>
      </c>
      <c r="D17" s="4">
        <f t="shared" si="0"/>
        <v>1.5162037016125396E-3</v>
      </c>
      <c r="E17" t="s">
        <v>107</v>
      </c>
      <c r="F17" t="s">
        <v>107</v>
      </c>
      <c r="G17" s="1"/>
      <c r="H17" t="s">
        <v>56</v>
      </c>
      <c r="I17" t="s">
        <v>87</v>
      </c>
      <c r="J17" t="s">
        <v>28</v>
      </c>
      <c r="K17" t="s">
        <v>49</v>
      </c>
      <c r="L17" t="s">
        <v>31</v>
      </c>
      <c r="M17" t="s">
        <v>32</v>
      </c>
      <c r="N17" t="s">
        <v>30</v>
      </c>
      <c r="O17" t="s">
        <v>31</v>
      </c>
      <c r="P17" t="s">
        <v>30</v>
      </c>
      <c r="Q17" t="s">
        <v>32</v>
      </c>
      <c r="R17" t="s">
        <v>30</v>
      </c>
      <c r="S17" t="s">
        <v>31</v>
      </c>
      <c r="T17" t="s">
        <v>30</v>
      </c>
      <c r="U17" t="s">
        <v>57</v>
      </c>
      <c r="V17" t="s">
        <v>108</v>
      </c>
      <c r="W17">
        <v>10</v>
      </c>
      <c r="X17" t="s">
        <v>35</v>
      </c>
      <c r="Y17" t="s">
        <v>53</v>
      </c>
    </row>
    <row r="18" spans="1:25" x14ac:dyDescent="0.3">
      <c r="A18">
        <v>17</v>
      </c>
      <c r="B18" s="3">
        <v>46121.578368055598</v>
      </c>
      <c r="C18" s="3">
        <v>46121.578877314802</v>
      </c>
      <c r="D18" s="4">
        <f t="shared" si="0"/>
        <v>5.0925920368172228E-4</v>
      </c>
      <c r="E18" t="s">
        <v>109</v>
      </c>
      <c r="F18" t="s">
        <v>110</v>
      </c>
      <c r="G18" s="1"/>
      <c r="H18" t="s">
        <v>62</v>
      </c>
      <c r="I18" t="s">
        <v>87</v>
      </c>
      <c r="J18" t="s">
        <v>28</v>
      </c>
      <c r="K18" t="s">
        <v>49</v>
      </c>
      <c r="L18" t="s">
        <v>30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42</v>
      </c>
      <c r="V18" t="s">
        <v>111</v>
      </c>
      <c r="W18">
        <v>8</v>
      </c>
      <c r="X18" t="s">
        <v>52</v>
      </c>
      <c r="Y18" t="s">
        <v>53</v>
      </c>
    </row>
    <row r="19" spans="1:25" x14ac:dyDescent="0.3">
      <c r="A19">
        <v>18</v>
      </c>
      <c r="B19" s="3">
        <v>46121.578923611101</v>
      </c>
      <c r="C19" s="3">
        <v>46121.580081018503</v>
      </c>
      <c r="D19" s="4">
        <f t="shared" si="0"/>
        <v>1.1574074014788494E-3</v>
      </c>
      <c r="E19" t="s">
        <v>112</v>
      </c>
      <c r="F19" t="s">
        <v>113</v>
      </c>
      <c r="G19" s="1"/>
      <c r="H19" t="s">
        <v>48</v>
      </c>
      <c r="I19" t="s">
        <v>87</v>
      </c>
      <c r="J19" t="s">
        <v>67</v>
      </c>
      <c r="K19" t="s">
        <v>41</v>
      </c>
      <c r="L19" t="s">
        <v>31</v>
      </c>
      <c r="M19" t="s">
        <v>30</v>
      </c>
      <c r="N19" t="s">
        <v>31</v>
      </c>
      <c r="O19" t="s">
        <v>31</v>
      </c>
      <c r="P19" t="s">
        <v>30</v>
      </c>
      <c r="Q19" t="s">
        <v>31</v>
      </c>
      <c r="R19" t="s">
        <v>31</v>
      </c>
      <c r="S19" t="s">
        <v>31</v>
      </c>
      <c r="T19" t="s">
        <v>31</v>
      </c>
      <c r="U19" t="s">
        <v>114</v>
      </c>
      <c r="V19" t="s">
        <v>63</v>
      </c>
      <c r="W19">
        <v>10</v>
      </c>
      <c r="X19" t="s">
        <v>52</v>
      </c>
      <c r="Y19" t="s">
        <v>53</v>
      </c>
    </row>
    <row r="20" spans="1:25" x14ac:dyDescent="0.3">
      <c r="A20">
        <v>19</v>
      </c>
      <c r="B20" s="3">
        <v>46121.5789351852</v>
      </c>
      <c r="C20" s="3">
        <v>46121.580162036997</v>
      </c>
      <c r="D20" s="4">
        <f t="shared" si="0"/>
        <v>1.2268517966731451E-3</v>
      </c>
      <c r="E20" t="s">
        <v>115</v>
      </c>
      <c r="F20" t="s">
        <v>116</v>
      </c>
      <c r="G20" s="1"/>
      <c r="H20" t="s">
        <v>62</v>
      </c>
      <c r="I20" t="s">
        <v>39</v>
      </c>
      <c r="J20" t="s">
        <v>67</v>
      </c>
      <c r="K20" t="s">
        <v>82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117</v>
      </c>
      <c r="V20" t="s">
        <v>118</v>
      </c>
      <c r="W20">
        <v>9</v>
      </c>
      <c r="X20" t="s">
        <v>52</v>
      </c>
      <c r="Y20" t="s">
        <v>53</v>
      </c>
    </row>
    <row r="21" spans="1:25" x14ac:dyDescent="0.3">
      <c r="A21">
        <v>20</v>
      </c>
      <c r="B21" s="3">
        <v>46121.5794328704</v>
      </c>
      <c r="C21" s="3">
        <v>46121.581712963001</v>
      </c>
      <c r="D21" s="4">
        <f t="shared" si="0"/>
        <v>2.280092601722572E-3</v>
      </c>
      <c r="E21" t="s">
        <v>119</v>
      </c>
      <c r="F21" t="s">
        <v>120</v>
      </c>
      <c r="G21" s="1"/>
      <c r="H21" t="s">
        <v>56</v>
      </c>
      <c r="I21" t="s">
        <v>39</v>
      </c>
      <c r="J21" t="s">
        <v>28</v>
      </c>
      <c r="K21" t="s">
        <v>41</v>
      </c>
      <c r="L21" t="s">
        <v>31</v>
      </c>
      <c r="M21" t="s">
        <v>30</v>
      </c>
      <c r="N21" t="s">
        <v>31</v>
      </c>
      <c r="O21" t="s">
        <v>32</v>
      </c>
      <c r="P21" t="s">
        <v>31</v>
      </c>
      <c r="Q21" t="s">
        <v>30</v>
      </c>
      <c r="R21" t="s">
        <v>31</v>
      </c>
      <c r="S21" t="s">
        <v>31</v>
      </c>
      <c r="T21" t="s">
        <v>31</v>
      </c>
      <c r="U21" t="s">
        <v>121</v>
      </c>
      <c r="V21" t="s">
        <v>122</v>
      </c>
      <c r="W21">
        <v>10</v>
      </c>
      <c r="X21" t="s">
        <v>52</v>
      </c>
      <c r="Y21" t="s">
        <v>70</v>
      </c>
    </row>
    <row r="22" spans="1:25" x14ac:dyDescent="0.3">
      <c r="A22">
        <v>21</v>
      </c>
      <c r="B22" s="3">
        <v>46121.591666666704</v>
      </c>
      <c r="C22" s="3">
        <v>46121.591932870397</v>
      </c>
      <c r="D22" s="4">
        <f t="shared" si="0"/>
        <v>2.6620369317242876E-4</v>
      </c>
      <c r="E22" t="s">
        <v>123</v>
      </c>
      <c r="F22" t="s">
        <v>124</v>
      </c>
      <c r="G22" s="1"/>
      <c r="L22" t="s">
        <v>32</v>
      </c>
      <c r="M22" t="s">
        <v>30</v>
      </c>
      <c r="N22" t="s">
        <v>126</v>
      </c>
      <c r="O22" t="s">
        <v>32</v>
      </c>
      <c r="P22" t="s">
        <v>126</v>
      </c>
      <c r="Q22" t="s">
        <v>32</v>
      </c>
      <c r="R22" t="s">
        <v>30</v>
      </c>
      <c r="S22" t="s">
        <v>31</v>
      </c>
      <c r="T22" t="s">
        <v>31</v>
      </c>
      <c r="X22" t="s">
        <v>44</v>
      </c>
      <c r="Y22" t="s">
        <v>59</v>
      </c>
    </row>
    <row r="23" spans="1:25" x14ac:dyDescent="0.3">
      <c r="A23" s="5">
        <f>COUNT(Table1[ID])</f>
        <v>21</v>
      </c>
      <c r="C23" s="3"/>
      <c r="D23" s="4">
        <f>AVERAGE(D2:D22)</f>
        <v>1.6363536137976639E-3</v>
      </c>
      <c r="E23" s="5"/>
      <c r="F23" s="5"/>
      <c r="G23" s="1"/>
      <c r="H23" s="5">
        <f>COUNTIF(H2:H22, "First time!")</f>
        <v>6</v>
      </c>
      <c r="I23" s="5">
        <f>COUNTIF(I2:I22, "Drinks + Food")</f>
        <v>9</v>
      </c>
      <c r="J23" s="5">
        <f>COUNTIF(J2:J22,"$20 - $40")</f>
        <v>10</v>
      </c>
      <c r="K23" s="5">
        <f>COUNTIF(K2:K22, "Cocktails")</f>
        <v>10</v>
      </c>
      <c r="L23" s="5" cm="1">
        <f t="array" ref="L23">AVERAGE(_xlfn.SWITCH(L$2:L$22,"Extremely dissatisfied", 0, "Dissatisfied", 1, "Neutral", 2, "Satisfied", 3, "Extremely satisfied", "4"))</f>
        <v>2.8461538461538463</v>
      </c>
      <c r="M23" s="5" cm="1">
        <f t="array" ref="M23">AVERAGE(_xlfn.SWITCH(M$2:M$22,"Extremely dissatisfied", 0, "Dissatisfied", 1, "Neutral", 2, "Satisfied", 3, "Extremely satisfied", "4"))</f>
        <v>2.6875</v>
      </c>
      <c r="N23" s="5" cm="1">
        <f t="array" ref="N23">AVERAGE(_xlfn.SWITCH(N$2:N$22,"Extremely dissatisfied", 0, "Dissatisfied", 1, "Neutral", 2, "Satisfied", 3, "Extremely satisfied", "4"))</f>
        <v>2.2857142857142856</v>
      </c>
      <c r="O23" s="5" cm="1">
        <f t="array" ref="O23">AVERAGE(_xlfn.SWITCH(O$2:O$22,"Extremely dissatisfied", 0, "Dissatisfied", 1, "Neutral", 2, "Satisfied", 3, "Extremely satisfied", "4"))</f>
        <v>2.3157894736842106</v>
      </c>
      <c r="P23" s="5" cm="1">
        <f t="array" ref="P23">AVERAGE(_xlfn.SWITCH(P$2:P$22,"Extremely dissatisfied", 0, "Dissatisfied", 1, "Neutral", 2, "Satisfied", 3, "Extremely satisfied", "4"))</f>
        <v>2.2142857142857144</v>
      </c>
      <c r="Q23" s="5" cm="1">
        <f t="array" ref="Q23">AVERAGE(_xlfn.SWITCH(Q$2:Q$22,"Extremely dissatisfied", 0, "Dissatisfied", 1, "Neutral", 2, "Satisfied", 3, "Extremely satisfied", "4"))</f>
        <v>2.4</v>
      </c>
      <c r="R23" s="5" cm="1">
        <f t="array" ref="R23">AVERAGE(_xlfn.SWITCH(R$2:R$22,"Extremely dissatisfied", 0, "Dissatisfied", 1, "Neutral", 2, "Satisfied", 3, "Extremely satisfied", "4"))</f>
        <v>2.5</v>
      </c>
      <c r="S23" s="5" cm="1">
        <f t="array" ref="S23">AVERAGE(_xlfn.SWITCH(S$2:S$22,"Extremely dissatisfied", 0, "Dissatisfied", 1, "Neutral", 2, "Satisfied", 3, "Extremely satisfied", "4"))</f>
        <v>2.6666666666666665</v>
      </c>
      <c r="T23" s="5" cm="1">
        <f t="array" ref="T23">AVERAGE(_xlfn.SWITCH(T$2:T$22,"Extremely dissatisfied", 0, "Dissatisfied", 1, "Neutral", 2, "Satisfied", 3, "Extremely satisfied", "4"))</f>
        <v>2.2000000000000002</v>
      </c>
      <c r="U23" s="5"/>
      <c r="V23" s="5"/>
      <c r="W23" s="5">
        <f>AVERAGE(W7:W22)</f>
        <v>8.4</v>
      </c>
      <c r="X23" s="5">
        <f>COUNTIF(X2:X22, "Extremely interested!")</f>
        <v>10</v>
      </c>
      <c r="Y23" s="5">
        <f>COUNTIF(Y2:Y22, "Discounted appetizers/food")</f>
        <v>9</v>
      </c>
    </row>
    <row r="24" spans="1:25" x14ac:dyDescent="0.3">
      <c r="H24" t="s">
        <v>139</v>
      </c>
      <c r="I24" t="s">
        <v>138</v>
      </c>
      <c r="J24" t="s">
        <v>137</v>
      </c>
      <c r="W24" t="s">
        <v>136</v>
      </c>
      <c r="X24" t="s">
        <v>129</v>
      </c>
      <c r="Y24" t="s">
        <v>135</v>
      </c>
    </row>
    <row r="25" spans="1:25" x14ac:dyDescent="0.3">
      <c r="N25" t="str">
        <f>IF(
   OR(
      N2="",
      TRIM(CLEAN(N2))="",
      ISNA(
         MATCH(
            TRIM(CLEAN(N2)),
            {"Extremely dissatisfied","Dissatisfied","Neutral","Satisfied","Extremely satisfied"},
            0
         )
      )
   ),
   "BAD VALUE",
   "OK"
)</f>
        <v>OK</v>
      </c>
      <c r="O25" t="str">
        <f>IF(
   OR(
      O2="",
      TRIM(CLEAN(O2))="",
      ISNA(
         MATCH(
            TRIM(CLEAN(O2)),
            {"Extremely dissatisfied","Dissatisfied","Neutral","Satisfied","Extremely satisfied"},
            0
         )
      )
   ),
   "BAD VALUE",
   "OK"
)</f>
        <v>OK</v>
      </c>
      <c r="P25" t="str">
        <f>IF(
   OR(
      P2="",
      TRIM(CLEAN(P2))="",
      ISNA(
         MATCH(
            TRIM(CLEAN(P2)),
            {"Extremely dissatisfied","Dissatisfied","Neutral","Satisfied","Extremely satisfied"},
            0
         )
      )
   ),
   "BAD VALUE",
   "OK"
)</f>
        <v>OK</v>
      </c>
      <c r="Q25" t="str">
        <f>IF(
   OR(
      Q2="",
      TRIM(CLEAN(Q2))="",
      ISNA(
         MATCH(
            TRIM(CLEAN(Q2)),
            {"Extremely dissatisfied","Dissatisfied","Neutral","Satisfied","Extremely satisfied"},
            0
         )
      )
   ),
   "BAD VALUE",
   "OK"
)</f>
        <v>OK</v>
      </c>
      <c r="R25" t="str">
        <f>IF(
   OR(
      R2="",
      TRIM(CLEAN(R2))="",
      ISNA(
         MATCH(
            TRIM(CLEAN(R2)),
            {"Extremely dissatisfied","Dissatisfied","Neutral","Satisfied","Extremely satisfied"},
            0
         )
      )
   ),
   "BAD VALUE",
   "OK"
)</f>
        <v>OK</v>
      </c>
      <c r="S25" t="str">
        <f>IF(
   OR(
      S2="",
      TRIM(CLEAN(S2))="",
      ISNA(
         MATCH(
            TRIM(CLEAN(S2)),
            {"Extremely dissatisfied","Dissatisfied","Neutral","Satisfied","Extremely satisfied"},
            0
         )
      )
   ),
   "BAD VALUE",
   "OK"
)</f>
        <v>OK</v>
      </c>
      <c r="T25" t="str">
        <f>IF(
   OR(
      T2="",
      TRIM(CLEAN(T2))="",
      ISNA(
         MATCH(
            TRIM(CLEAN(T2)),
            {"Extremely dissatisfied","Dissatisfied","Neutral","Satisfied","Extremely satisfied"},
            0
         )
      )
   ),
   "BAD VALUE",
   "OK"
)</f>
        <v>OK</v>
      </c>
    </row>
    <row r="26" spans="1:25" x14ac:dyDescent="0.3">
      <c r="N26" t="str">
        <f>IF(
   OR(
      N3="",
      TRIM(CLEAN(N3))="",
      ISNA(
         MATCH(
            TRIM(CLEAN(N3)),
            {"Extremely dissatisfied","Dissatisfied","Neutral","Satisfied","Extremely satisfied"},
            0
         )
      )
   ),
   "BAD VALUE",
   "OK"
)</f>
        <v>OK</v>
      </c>
      <c r="O26" t="str">
        <f>IF(
   OR(
      O3="",
      TRIM(CLEAN(O3))="",
      ISNA(
         MATCH(
            TRIM(CLEAN(O3)),
            {"Extremely dissatisfied","Dissatisfied","Neutral","Satisfied","Extremely satisfied"},
            0
         )
      )
   ),
   "BAD VALUE",
   "OK"
)</f>
        <v>OK</v>
      </c>
      <c r="P26" t="str">
        <f>IF(
   OR(
      P3="",
      TRIM(CLEAN(P3))="",
      ISNA(
         MATCH(
            TRIM(CLEAN(P3)),
            {"Extremely dissatisfied","Dissatisfied","Neutral","Satisfied","Extremely satisfied"},
            0
         )
      )
   ),
   "BAD VALUE",
   "OK"
)</f>
        <v>OK</v>
      </c>
      <c r="Q26" t="str">
        <f>IF(
   OR(
      Q3="",
      TRIM(CLEAN(Q3))="",
      ISNA(
         MATCH(
            TRIM(CLEAN(Q3)),
            {"Extremely dissatisfied","Dissatisfied","Neutral","Satisfied","Extremely satisfied"},
            0
         )
      )
   ),
   "BAD VALUE",
   "OK"
)</f>
        <v>OK</v>
      </c>
      <c r="R26" t="str">
        <f>IF(
   OR(
      R3="",
      TRIM(CLEAN(R3))="",
      ISNA(
         MATCH(
            TRIM(CLEAN(R3)),
            {"Extremely dissatisfied","Dissatisfied","Neutral","Satisfied","Extremely satisfied"},
            0
         )
      )
   ),
   "BAD VALUE",
   "OK"
)</f>
        <v>OK</v>
      </c>
      <c r="S26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26" t="str">
        <f>IF(
   OR(
      T3="",
      TRIM(CLEAN(T3))="",
      ISNA(
         MATCH(
            TRIM(CLEAN(T3)),
            {"Extremely dissatisfied","Dissatisfied","Neutral","Satisfied","Extremely satisfied"},
            0
         )
      )
   ),
   "BAD VALUE",
   "OK"
)</f>
        <v>OK</v>
      </c>
    </row>
    <row r="27" spans="1:25" x14ac:dyDescent="0.3">
      <c r="N27" t="str">
        <f>IF(
   OR(
      N4="",
      TRIM(CLEAN(N4))="",
      ISNA(
         MATCH(
            TRIM(CLEAN(N4)),
            {"Extremely dissatisfied","Dissatisfied","Neutral","Satisfied","Extremely satisfied"},
            0
         )
      )
   ),
   "BAD VALUE",
   "OK"
)</f>
        <v>OK</v>
      </c>
      <c r="O27" t="str">
        <f>IF(
   OR(
      O4="",
      TRIM(CLEAN(O4))="",
      ISNA(
         MATCH(
            TRIM(CLEAN(O4)),
            {"Extremely dissatisfied","Dissatisfied","Neutral","Satisfied","Extremely satisfied"},
            0
         )
      )
   ),
   "BAD VALUE",
   "OK"
)</f>
        <v>OK</v>
      </c>
      <c r="P27" t="str">
        <f>IF(
   OR(
      P4="",
      TRIM(CLEAN(P4))="",
      ISNA(
         MATCH(
            TRIM(CLEAN(P4)),
            {"Extremely dissatisfied","Dissatisfied","Neutral","Satisfied","Extremely satisfied"},
            0
         )
      )
   ),
   "BAD VALUE",
   "OK"
)</f>
        <v>OK</v>
      </c>
      <c r="Q27" t="str">
        <f>IF(
   OR(
      Q4="",
      TRIM(CLEAN(Q4))="",
      ISNA(
         MATCH(
            TRIM(CLEAN(Q4)),
            {"Extremely dissatisfied","Dissatisfied","Neutral","Satisfied","Extremely satisfied"},
            0
         )
      )
   ),
   "BAD VALUE",
   "OK"
)</f>
        <v>OK</v>
      </c>
      <c r="R27" t="str">
        <f>IF(
   OR(
      R4="",
      TRIM(CLEAN(R4))="",
      ISNA(
         MATCH(
            TRIM(CLEAN(R4)),
            {"Extremely dissatisfied","Dissatisfied","Neutral","Satisfied","Extremely satisfied"},
            0
         )
      )
   ),
   "BAD VALUE",
   "OK"
)</f>
        <v>OK</v>
      </c>
      <c r="S27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27" t="str">
        <f>IF(
   OR(
      T4="",
      TRIM(CLEAN(T4))="",
      ISNA(
         MATCH(
            TRIM(CLEAN(T4)),
            {"Extremely dissatisfied","Dissatisfied","Neutral","Satisfied","Extremely satisfied"},
            0
         )
      )
   ),
   "BAD VALUE",
   "OK"
)</f>
        <v>OK</v>
      </c>
    </row>
    <row r="28" spans="1:25" x14ac:dyDescent="0.3">
      <c r="N28" t="str">
        <f>IF(
   OR(
      N5="",
      TRIM(CLEAN(N5))="",
      ISNA(
         MATCH(
            TRIM(CLEAN(N5)),
            {"Extremely dissatisfied","Dissatisfied","Neutral","Satisfied","Extremely satisfied"},
            0
         )
      )
   ),
   "BAD VALUE",
   "OK"
)</f>
        <v>OK</v>
      </c>
      <c r="O28" t="str">
        <f>IF(
   OR(
      O5="",
      TRIM(CLEAN(O5))="",
      ISNA(
         MATCH(
            TRIM(CLEAN(O5)),
            {"Extremely dissatisfied","Dissatisfied","Neutral","Satisfied","Extremely satisfied"},
            0
         )
      )
   ),
   "BAD VALUE",
   "OK"
)</f>
        <v>OK</v>
      </c>
      <c r="P28" t="str">
        <f>IF(
   OR(
      P5="",
      TRIM(CLEAN(P5))="",
      ISNA(
         MATCH(
            TRIM(CLEAN(P5)),
            {"Extremely dissatisfied","Dissatisfied","Neutral","Satisfied","Extremely satisfied"},
            0
         )
      )
   ),
   "BAD VALUE",
   "OK"
)</f>
        <v>OK</v>
      </c>
      <c r="Q28" t="str">
        <f>IF(
   OR(
      Q5="",
      TRIM(CLEAN(Q5))="",
      ISNA(
         MATCH(
            TRIM(CLEAN(Q5)),
            {"Extremely dissatisfied","Dissatisfied","Neutral","Satisfied","Extremely satisfied"},
            0
         )
      )
   ),
   "BAD VALUE",
   "OK"
)</f>
        <v>OK</v>
      </c>
      <c r="R28" t="str">
        <f>IF(
   OR(
      R5="",
      TRIM(CLEAN(R5))="",
      ISNA(
         MATCH(
            TRIM(CLEAN(R5)),
            {"Extremely dissatisfied","Dissatisfied","Neutral","Satisfied","Extremely satisfied"},
            0
         )
      )
   ),
   "BAD VALUE",
   "OK"
)</f>
        <v>OK</v>
      </c>
      <c r="S28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28" t="str">
        <f>IF(
   OR(
      T5="",
      TRIM(CLEAN(T5))="",
      ISNA(
         MATCH(
            TRIM(CLEAN(T5)),
            {"Extremely dissatisfied","Dissatisfied","Neutral","Satisfied","Extremely satisfied"},
            0
         )
      )
   ),
   "BAD VALUE",
   "OK"
)</f>
        <v>OK</v>
      </c>
    </row>
    <row r="29" spans="1:25" x14ac:dyDescent="0.3">
      <c r="N29" t="str">
        <f>IF(
   OR(
      N6="",
      TRIM(CLEAN(N6))="",
      ISNA(
         MATCH(
            TRIM(CLEAN(N6)),
            {"Extremely dissatisfied","Dissatisfied","Neutral","Satisfied","Extremely satisfied"},
            0
         )
      )
   ),
   "BAD VALUE",
   "OK"
)</f>
        <v>OK</v>
      </c>
      <c r="O29" t="str">
        <f>IF(
   OR(
      O6="",
      TRIM(CLEAN(O6))="",
      ISNA(
         MATCH(
            TRIM(CLEAN(O6)),
            {"Extremely dissatisfied","Dissatisfied","Neutral","Satisfied","Extremely satisfied"},
            0
         )
      )
   ),
   "BAD VALUE",
   "OK"
)</f>
        <v>OK</v>
      </c>
      <c r="P29" t="str">
        <f>IF(
   OR(
      P6="",
      TRIM(CLEAN(P6))="",
      ISNA(
         MATCH(
            TRIM(CLEAN(P6)),
            {"Extremely dissatisfied","Dissatisfied","Neutral","Satisfied","Extremely satisfied"},
            0
         )
      )
   ),
   "BAD VALUE",
   "OK"
)</f>
        <v>OK</v>
      </c>
      <c r="Q29" t="str">
        <f>IF(
   OR(
      Q6="",
      TRIM(CLEAN(Q6))="",
      ISNA(
         MATCH(
            TRIM(CLEAN(Q6)),
            {"Extremely dissatisfied","Dissatisfied","Neutral","Satisfied","Extremely satisfied"},
            0
         )
      )
   ),
   "BAD VALUE",
   "OK"
)</f>
        <v>OK</v>
      </c>
      <c r="R29" t="str">
        <f>IF(
   OR(
      R6="",
      TRIM(CLEAN(R6))="",
      ISNA(
         MATCH(
            TRIM(CLEAN(R6)),
            {"Extremely dissatisfied","Dissatisfied","Neutral","Satisfied","Extremely satisfied"},
            0
         )
      )
   ),
   "BAD VALUE",
   "OK"
)</f>
        <v>OK</v>
      </c>
      <c r="S29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29" t="str">
        <f>IF(
   OR(
      T6="",
      TRIM(CLEAN(T6))="",
      ISNA(
         MATCH(
            TRIM(CLEAN(T6)),
            {"Extremely dissatisfied","Dissatisfied","Neutral","Satisfied","Extremely satisfied"},
            0
         )
      )
   ),
   "BAD VALUE",
   "OK"
)</f>
        <v>OK</v>
      </c>
    </row>
    <row r="30" spans="1:25" x14ac:dyDescent="0.3">
      <c r="N30" t="str">
        <f>IF(
   OR(
      N7="",
      TRIM(CLEAN(N7))="",
      ISNA(
         MATCH(
            TRIM(CLEAN(N7)),
            {"Extremely dissatisfied","Dissatisfied","Neutral","Satisfied","Extremely satisfied"},
            0
         )
      )
   ),
   "BAD VALUE",
   "OK"
)</f>
        <v>OK</v>
      </c>
      <c r="O30" t="str">
        <f>IF(
   OR(
      O7="",
      TRIM(CLEAN(O7))="",
      ISNA(
         MATCH(
            TRIM(CLEAN(O7)),
            {"Extremely dissatisfied","Dissatisfied","Neutral","Satisfied","Extremely satisfied"},
            0
         )
      )
   ),
   "BAD VALUE",
   "OK"
)</f>
        <v>OK</v>
      </c>
      <c r="P30" t="str">
        <f>IF(
   OR(
      P7="",
      TRIM(CLEAN(P7))="",
      ISNA(
         MATCH(
            TRIM(CLEAN(P7)),
            {"Extremely dissatisfied","Dissatisfied","Neutral","Satisfied","Extremely satisfied"},
            0
         )
      )
   ),
   "BAD VALUE",
   "OK"
)</f>
        <v>OK</v>
      </c>
      <c r="Q30" t="str">
        <f>IF(
   OR(
      Q7="",
      TRIM(CLEAN(Q7))="",
      ISNA(
         MATCH(
            TRIM(CLEAN(Q7)),
            {"Extremely dissatisfied","Dissatisfied","Neutral","Satisfied","Extremely satisfied"},
            0
         )
      )
   ),
   "BAD VALUE",
   "OK"
)</f>
        <v>OK</v>
      </c>
      <c r="R30" t="str">
        <f>IF(
   OR(
      R7="",
      TRIM(CLEAN(R7))="",
      ISNA(
         MATCH(
            TRIM(CLEAN(R7)),
            {"Extremely dissatisfied","Dissatisfied","Neutral","Satisfied","Extremely satisfied"},
            0
         )
      )
   ),
   "BAD VALUE",
   "OK"
)</f>
        <v>OK</v>
      </c>
      <c r="S30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0" t="str">
        <f>IF(
   OR(
      T7="",
      TRIM(CLEAN(T7))="",
      ISNA(
         MATCH(
            TRIM(CLEAN(T7)),
            {"Extremely dissatisfied","Dissatisfied","Neutral","Satisfied","Extremely satisfied"},
            0
         )
      )
   ),
   "BAD VALUE",
   "OK"
)</f>
        <v>OK</v>
      </c>
    </row>
    <row r="31" spans="1:25" x14ac:dyDescent="0.3">
      <c r="N31" t="str">
        <f>IF(
   OR(
      N8="",
      TRIM(CLEAN(N8))="",
      ISNA(
         MATCH(
            TRIM(CLEAN(N8)),
            {"Extremely dissatisfied","Dissatisfied","Neutral","Satisfied","Extremely satisfied"},
            0
         )
      )
   ),
   "BAD VALUE",
   "OK"
)</f>
        <v>OK</v>
      </c>
      <c r="O31" t="str">
        <f>IF(
   OR(
      O8="",
      TRIM(CLEAN(O8))="",
      ISNA(
         MATCH(
            TRIM(CLEAN(O8)),
            {"Extremely dissatisfied","Dissatisfied","Neutral","Satisfied","Extremely satisfied"},
            0
         )
      )
   ),
   "BAD VALUE",
   "OK"
)</f>
        <v>OK</v>
      </c>
      <c r="P31" t="str">
        <f>IF(
   OR(
      P8="",
      TRIM(CLEAN(P8))="",
      ISNA(
         MATCH(
            TRIM(CLEAN(P8)),
            {"Extremely dissatisfied","Dissatisfied","Neutral","Satisfied","Extremely satisfied"},
            0
         )
      )
   ),
   "BAD VALUE",
   "OK"
)</f>
        <v>OK</v>
      </c>
      <c r="Q31" t="str">
        <f>IF(
   OR(
      Q8="",
      TRIM(CLEAN(Q8))="",
      ISNA(
         MATCH(
            TRIM(CLEAN(Q8)),
            {"Extremely dissatisfied","Dissatisfied","Neutral","Satisfied","Extremely satisfied"},
            0
         )
      )
   ),
   "BAD VALUE",
   "OK"
)</f>
        <v>OK</v>
      </c>
      <c r="R31" t="str">
        <f>IF(
   OR(
      R8="",
      TRIM(CLEAN(R8))="",
      ISNA(
         MATCH(
            TRIM(CLEAN(R8)),
            {"Extremely dissatisfied","Dissatisfied","Neutral","Satisfied","Extremely satisfied"},
            0
         )
      )
   ),
   "BAD VALUE",
   "OK"
)</f>
        <v>OK</v>
      </c>
      <c r="S31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1" t="str">
        <f>IF(
   OR(
      T8="",
      TRIM(CLEAN(T8))="",
      ISNA(
         MATCH(
            TRIM(CLEAN(T8)),
            {"Extremely dissatisfied","Dissatisfied","Neutral","Satisfied","Extremely satisfied"},
            0
         )
      )
   ),
   "BAD VALUE",
   "OK"
)</f>
        <v>OK</v>
      </c>
    </row>
    <row r="32" spans="1:25" x14ac:dyDescent="0.3">
      <c r="N32" t="str">
        <f>IF(
   OR(
      N9="",
      TRIM(CLEAN(N9))="",
      ISNA(
         MATCH(
            TRIM(CLEAN(N9)),
            {"Extremely dissatisfied","Dissatisfied","Neutral","Satisfied","Extremely satisfied"},
            0
         )
      )
   ),
   "BAD VALUE",
   "OK"
)</f>
        <v>OK</v>
      </c>
      <c r="O32" t="str">
        <f>IF(
   OR(
      O9="",
      TRIM(CLEAN(O9))="",
      ISNA(
         MATCH(
            TRIM(CLEAN(O9)),
            {"Extremely dissatisfied","Dissatisfied","Neutral","Satisfied","Extremely satisfied"},
            0
         )
      )
   ),
   "BAD VALUE",
   "OK"
)</f>
        <v>OK</v>
      </c>
      <c r="P32" t="str">
        <f>IF(
   OR(
      P9="",
      TRIM(CLEAN(P9))="",
      ISNA(
         MATCH(
            TRIM(CLEAN(P9)),
            {"Extremely dissatisfied","Dissatisfied","Neutral","Satisfied","Extremely satisfied"},
            0
         )
      )
   ),
   "BAD VALUE",
   "OK"
)</f>
        <v>OK</v>
      </c>
      <c r="Q32" t="str">
        <f>IF(
   OR(
      Q9="",
      TRIM(CLEAN(Q9))="",
      ISNA(
         MATCH(
            TRIM(CLEAN(Q9)),
            {"Extremely dissatisfied","Dissatisfied","Neutral","Satisfied","Extremely satisfied"},
            0
         )
      )
   ),
   "BAD VALUE",
   "OK"
)</f>
        <v>OK</v>
      </c>
      <c r="R32" t="str">
        <f>IF(
   OR(
      R9="",
      TRIM(CLEAN(R9))="",
      ISNA(
         MATCH(
            TRIM(CLEAN(R9)),
            {"Extremely dissatisfied","Dissatisfied","Neutral","Satisfied","Extremely satisfied"},
            0
         )
      )
   ),
   "BAD VALUE",
   "OK"
)</f>
        <v>OK</v>
      </c>
      <c r="S32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2" t="str">
        <f>IF(
   OR(
      T9="",
      TRIM(CLEAN(T9))="",
      ISNA(
         MATCH(
            TRIM(CLEAN(T9)),
            {"Extremely dissatisfied","Dissatisfied","Neutral","Satisfied","Extremely satisfied"},
            0
         )
      )
   ),
   "BAD VALUE",
   "OK"
)</f>
        <v>OK</v>
      </c>
    </row>
    <row r="33" spans="14:20" x14ac:dyDescent="0.3">
      <c r="N33" t="str">
        <f>IF(
   OR(
      N10="",
      TRIM(CLEAN(N10))="",
      ISNA(
         MATCH(
            TRIM(CLEAN(N10)),
            {"Extremely dissatisfied","Dissatisfied","Neutral","Satisfied","Extremely satisfied"},
            0
         )
      )
   ),
   "BAD VALUE",
   "OK"
)</f>
        <v>OK</v>
      </c>
      <c r="O33" t="str">
        <f>IF(
   OR(
      O10="",
      TRIM(CLEAN(O10))="",
      ISNA(
         MATCH(
            TRIM(CLEAN(O10)),
            {"Extremely dissatisfied","Dissatisfied","Neutral","Satisfied","Extremely satisfied"},
            0
         )
      )
   ),
   "BAD VALUE",
   "OK"
)</f>
        <v>OK</v>
      </c>
      <c r="P33" t="str">
        <f>IF(
   OR(
      P10="",
      TRIM(CLEAN(P10))="",
      ISNA(
         MATCH(
            TRIM(CLEAN(P10)),
            {"Extremely dissatisfied","Dissatisfied","Neutral","Satisfied","Extremely satisfied"},
            0
         )
      )
   ),
   "BAD VALUE",
   "OK"
)</f>
        <v>OK</v>
      </c>
      <c r="Q33" t="str">
        <f>IF(
   OR(
      Q10="",
      TRIM(CLEAN(Q10))="",
      ISNA(
         MATCH(
            TRIM(CLEAN(Q10)),
            {"Extremely dissatisfied","Dissatisfied","Neutral","Satisfied","Extremely satisfied"},
            0
         )
      )
   ),
   "BAD VALUE",
   "OK"
)</f>
        <v>OK</v>
      </c>
      <c r="R33" t="str">
        <f>IF(
   OR(
      R10="",
      TRIM(CLEAN(R10))="",
      ISNA(
         MATCH(
            TRIM(CLEAN(R10)),
            {"Extremely dissatisfied","Dissatisfied","Neutral","Satisfied","Extremely satisfied"},
            0
         )
      )
   ),
   "BAD VALUE",
   "OK"
)</f>
        <v>OK</v>
      </c>
      <c r="S33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3" t="str">
        <f>IF(
   OR(
      T10="",
      TRIM(CLEAN(T10))="",
      ISNA(
         MATCH(
            TRIM(CLEAN(T10)),
            {"Extremely dissatisfied","Dissatisfied","Neutral","Satisfied","Extremely satisfied"},
            0
         )
      )
   ),
   "BAD VALUE",
   "OK"
)</f>
        <v>OK</v>
      </c>
    </row>
    <row r="34" spans="14:20" x14ac:dyDescent="0.3">
      <c r="N34" t="str">
        <f>IF(
   OR(
      N11="",
      TRIM(CLEAN(N11))="",
      ISNA(
         MATCH(
            TRIM(CLEAN(N11)),
            {"Extremely dissatisfied","Dissatisfied","Neutral","Satisfied","Extremely satisfied"},
            0
         )
      )
   ),
   "BAD VALUE",
   "OK"
)</f>
        <v>OK</v>
      </c>
      <c r="O34" t="str">
        <f>IF(
   OR(
      O11="",
      TRIM(CLEAN(O11))="",
      ISNA(
         MATCH(
            TRIM(CLEAN(O11)),
            {"Extremely dissatisfied","Dissatisfied","Neutral","Satisfied","Extremely satisfied"},
            0
         )
      )
   ),
   "BAD VALUE",
   "OK"
)</f>
        <v>OK</v>
      </c>
      <c r="P34" t="str">
        <f>IF(
   OR(
      P11="",
      TRIM(CLEAN(P11))="",
      ISNA(
         MATCH(
            TRIM(CLEAN(P11)),
            {"Extremely dissatisfied","Dissatisfied","Neutral","Satisfied","Extremely satisfied"},
            0
         )
      )
   ),
   "BAD VALUE",
   "OK"
)</f>
        <v>OK</v>
      </c>
      <c r="Q34" t="str">
        <f>IF(
   OR(
      Q11="",
      TRIM(CLEAN(Q11))="",
      ISNA(
         MATCH(
            TRIM(CLEAN(Q11)),
            {"Extremely dissatisfied","Dissatisfied","Neutral","Satisfied","Extremely satisfied"},
            0
         )
      )
   ),
   "BAD VALUE",
   "OK"
)</f>
        <v>OK</v>
      </c>
      <c r="R34" t="str">
        <f>IF(
   OR(
      R11="",
      TRIM(CLEAN(R11))="",
      ISNA(
         MATCH(
            TRIM(CLEAN(R11)),
            {"Extremely dissatisfied","Dissatisfied","Neutral","Satisfied","Extremely satisfied"},
            0
         )
      )
   ),
   "BAD VALUE",
   "OK"
)</f>
        <v>OK</v>
      </c>
      <c r="S34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4" t="str">
        <f>IF(
   OR(
      T11="",
      TRIM(CLEAN(T11))="",
      ISNA(
         MATCH(
            TRIM(CLEAN(T11)),
            {"Extremely dissatisfied","Dissatisfied","Neutral","Satisfied","Extremely satisfied"},
            0
         )
      )
   ),
   "BAD VALUE",
   "OK"
)</f>
        <v>OK</v>
      </c>
    </row>
    <row r="35" spans="14:20" x14ac:dyDescent="0.3">
      <c r="N35" t="str">
        <f>IF(
   OR(
      N12="",
      TRIM(CLEAN(N12))="",
      ISNA(
         MATCH(
            TRIM(CLEAN(N12)),
            {"Extremely dissatisfied","Dissatisfied","Neutral","Satisfied","Extremely satisfied"},
            0
         )
      )
   ),
   "BAD VALUE",
   "OK"
)</f>
        <v>OK</v>
      </c>
      <c r="O35" t="str">
        <f>IF(
   OR(
      O12="",
      TRIM(CLEAN(O12))="",
      ISNA(
         MATCH(
            TRIM(CLEAN(O12)),
            {"Extremely dissatisfied","Dissatisfied","Neutral","Satisfied","Extremely satisfied"},
            0
         )
      )
   ),
   "BAD VALUE",
   "OK"
)</f>
        <v>OK</v>
      </c>
      <c r="P35" t="str">
        <f>IF(
   OR(
      P12="",
      TRIM(CLEAN(P12))="",
      ISNA(
         MATCH(
            TRIM(CLEAN(P12)),
            {"Extremely dissatisfied","Dissatisfied","Neutral","Satisfied","Extremely satisfied"},
            0
         )
      )
   ),
   "BAD VALUE",
   "OK"
)</f>
        <v>OK</v>
      </c>
      <c r="Q35" t="str">
        <f>IF(
   OR(
      Q12="",
      TRIM(CLEAN(Q12))="",
      ISNA(
         MATCH(
            TRIM(CLEAN(Q12)),
            {"Extremely dissatisfied","Dissatisfied","Neutral","Satisfied","Extremely satisfied"},
            0
         )
      )
   ),
   "BAD VALUE",
   "OK"
)</f>
        <v>OK</v>
      </c>
      <c r="R35" t="str">
        <f>IF(
   OR(
      R12="",
      TRIM(CLEAN(R12))="",
      ISNA(
         MATCH(
            TRIM(CLEAN(R12)),
            {"Extremely dissatisfied","Dissatisfied","Neutral","Satisfied","Extremely satisfied"},
            0
         )
      )
   ),
   "BAD VALUE",
   "OK"
)</f>
        <v>OK</v>
      </c>
      <c r="S35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5" t="str">
        <f>IF(
   OR(
      T12="",
      TRIM(CLEAN(T12))="",
      ISNA(
         MATCH(
            TRIM(CLEAN(T12)),
            {"Extremely dissatisfied","Dissatisfied","Neutral","Satisfied","Extremely satisfied"},
            0
         )
      )
   ),
   "BAD VALUE",
   "OK"
)</f>
        <v>OK</v>
      </c>
    </row>
    <row r="36" spans="14:20" x14ac:dyDescent="0.3">
      <c r="N36" t="str">
        <f>IF(
   OR(
      N13="",
      TRIM(CLEAN(N13))="",
      ISNA(
         MATCH(
            TRIM(CLEAN(N13)),
            {"Extremely dissatisfied","Dissatisfied","Neutral","Satisfied","Extremely satisfied"},
            0
         )
      )
   ),
   "BAD VALUE",
   "OK"
)</f>
        <v>OK</v>
      </c>
      <c r="O36" t="str">
        <f>IF(
   OR(
      O13="",
      TRIM(CLEAN(O13))="",
      ISNA(
         MATCH(
            TRIM(CLEAN(O13)),
            {"Extremely dissatisfied","Dissatisfied","Neutral","Satisfied","Extremely satisfied"},
            0
         )
      )
   ),
   "BAD VALUE",
   "OK"
)</f>
        <v>OK</v>
      </c>
      <c r="P36" t="str">
        <f>IF(
   OR(
      P13="",
      TRIM(CLEAN(P13))="",
      ISNA(
         MATCH(
            TRIM(CLEAN(P13)),
            {"Extremely dissatisfied","Dissatisfied","Neutral","Satisfied","Extremely satisfied"},
            0
         )
      )
   ),
   "BAD VALUE",
   "OK"
)</f>
        <v>OK</v>
      </c>
      <c r="Q36" t="str">
        <f>IF(
   OR(
      Q13="",
      TRIM(CLEAN(Q13))="",
      ISNA(
         MATCH(
            TRIM(CLEAN(Q13)),
            {"Extremely dissatisfied","Dissatisfied","Neutral","Satisfied","Extremely satisfied"},
            0
         )
      )
   ),
   "BAD VALUE",
   "OK"
)</f>
        <v>OK</v>
      </c>
      <c r="R36" t="str">
        <f>IF(
   OR(
      R13="",
      TRIM(CLEAN(R13))="",
      ISNA(
         MATCH(
            TRIM(CLEAN(R13)),
            {"Extremely dissatisfied","Dissatisfied","Neutral","Satisfied","Extremely satisfied"},
            0
         )
      )
   ),
   "BAD VALUE",
   "OK"
)</f>
        <v>OK</v>
      </c>
      <c r="S36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6" t="str">
        <f>IF(
   OR(
      T13="",
      TRIM(CLEAN(T13))="",
      ISNA(
         MATCH(
            TRIM(CLEAN(T13)),
            {"Extremely dissatisfied","Dissatisfied","Neutral","Satisfied","Extremely satisfied"},
            0
         )
      )
   ),
   "BAD VALUE",
   "OK"
)</f>
        <v>OK</v>
      </c>
    </row>
    <row r="37" spans="14:20" x14ac:dyDescent="0.3">
      <c r="N37" t="str">
        <f>IF(
   OR(
      N14="",
      TRIM(CLEAN(N14))="",
      ISNA(
         MATCH(
            TRIM(CLEAN(N14)),
            {"Extremely dissatisfied","Dissatisfied","Neutral","Satisfied","Extremely satisfied"},
            0
         )
      )
   ),
   "BAD VALUE",
   "OK"
)</f>
        <v>OK</v>
      </c>
      <c r="O37" t="str">
        <f>IF(
   OR(
      O14="",
      TRIM(CLEAN(O14))="",
      ISNA(
         MATCH(
            TRIM(CLEAN(O14)),
            {"Extremely dissatisfied","Dissatisfied","Neutral","Satisfied","Extremely satisfied"},
            0
         )
      )
   ),
   "BAD VALUE",
   "OK"
)</f>
        <v>OK</v>
      </c>
      <c r="P37" t="str">
        <f>IF(
   OR(
      P14="",
      TRIM(CLEAN(P14))="",
      ISNA(
         MATCH(
            TRIM(CLEAN(P14)),
            {"Extremely dissatisfied","Dissatisfied","Neutral","Satisfied","Extremely satisfied"},
            0
         )
      )
   ),
   "BAD VALUE",
   "OK"
)</f>
        <v>OK</v>
      </c>
      <c r="Q37" t="str">
        <f>IF(
   OR(
      Q14="",
      TRIM(CLEAN(Q14))="",
      ISNA(
         MATCH(
            TRIM(CLEAN(Q14)),
            {"Extremely dissatisfied","Dissatisfied","Neutral","Satisfied","Extremely satisfied"},
            0
         )
      )
   ),
   "BAD VALUE",
   "OK"
)</f>
        <v>OK</v>
      </c>
      <c r="R37" t="str">
        <f>IF(
   OR(
      R14="",
      TRIM(CLEAN(R14))="",
      ISNA(
         MATCH(
            TRIM(CLEAN(R14)),
            {"Extremely dissatisfied","Dissatisfied","Neutral","Satisfied","Extremely satisfied"},
            0
         )
      )
   ),
   "BAD VALUE",
   "OK"
)</f>
        <v>OK</v>
      </c>
      <c r="S37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7" t="str">
        <f>IF(
   OR(
      T14="",
      TRIM(CLEAN(T14))="",
      ISNA(
         MATCH(
            TRIM(CLEAN(T14)),
            {"Extremely dissatisfied","Dissatisfied","Neutral","Satisfied","Extremely satisfied"},
            0
         )
      )
   ),
   "BAD VALUE",
   "OK"
)</f>
        <v>OK</v>
      </c>
    </row>
    <row r="38" spans="14:20" x14ac:dyDescent="0.3">
      <c r="N38" t="str">
        <f>IF(
   OR(
      N15="",
      TRIM(CLEAN(N15))="",
      ISNA(
         MATCH(
            TRIM(CLEAN(N15)),
            {"Extremely dissatisfied","Dissatisfied","Neutral","Satisfied","Extremely satisfied"},
            0
         )
      )
   ),
   "BAD VALUE",
   "OK"
)</f>
        <v>OK</v>
      </c>
      <c r="O38" t="str">
        <f>IF(
   OR(
      O15="",
      TRIM(CLEAN(O15))="",
      ISNA(
         MATCH(
            TRIM(CLEAN(O15)),
            {"Extremely dissatisfied","Dissatisfied","Neutral","Satisfied","Extremely satisfied"},
            0
         )
      )
   ),
   "BAD VALUE",
   "OK"
)</f>
        <v>OK</v>
      </c>
      <c r="P38" t="str">
        <f>IF(
   OR(
      P15="",
      TRIM(CLEAN(P15))="",
      ISNA(
         MATCH(
            TRIM(CLEAN(P15)),
            {"Extremely dissatisfied","Dissatisfied","Neutral","Satisfied","Extremely satisfied"},
            0
         )
      )
   ),
   "BAD VALUE",
   "OK"
)</f>
        <v>OK</v>
      </c>
      <c r="Q38" t="str">
        <f>IF(
   OR(
      Q15="",
      TRIM(CLEAN(Q15))="",
      ISNA(
         MATCH(
            TRIM(CLEAN(Q15)),
            {"Extremely dissatisfied","Dissatisfied","Neutral","Satisfied","Extremely satisfied"},
            0
         )
      )
   ),
   "BAD VALUE",
   "OK"
)</f>
        <v>OK</v>
      </c>
      <c r="R38" t="str">
        <f>IF(
   OR(
      R15="",
      TRIM(CLEAN(R15))="",
      ISNA(
         MATCH(
            TRIM(CLEAN(R15)),
            {"Extremely dissatisfied","Dissatisfied","Neutral","Satisfied","Extremely satisfied"},
            0
         )
      )
   ),
   "BAD VALUE",
   "OK"
)</f>
        <v>OK</v>
      </c>
      <c r="S38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8" t="str">
        <f>IF(
   OR(
      T15="",
      TRIM(CLEAN(T15))="",
      ISNA(
         MATCH(
            TRIM(CLEAN(T15)),
            {"Extremely dissatisfied","Dissatisfied","Neutral","Satisfied","Extremely satisfied"},
            0
         )
      )
   ),
   "BAD VALUE",
   "OK"
)</f>
        <v>OK</v>
      </c>
    </row>
    <row r="39" spans="14:20" x14ac:dyDescent="0.3">
      <c r="N39" t="str">
        <f>IF(
   OR(
      N16="",
      TRIM(CLEAN(N16))="",
      ISNA(
         MATCH(
            TRIM(CLEAN(N16)),
            {"Extremely dissatisfied","Dissatisfied","Neutral","Satisfied","Extremely satisfied"},
            0
         )
      )
   ),
   "BAD VALUE",
   "OK"
)</f>
        <v>OK</v>
      </c>
      <c r="O39" t="str">
        <f>IF(
   OR(
      O16="",
      TRIM(CLEAN(O16))="",
      ISNA(
         MATCH(
            TRIM(CLEAN(O16)),
            {"Extremely dissatisfied","Dissatisfied","Neutral","Satisfied","Extremely satisfied"},
            0
         )
      )
   ),
   "BAD VALUE",
   "OK"
)</f>
        <v>OK</v>
      </c>
      <c r="P39" t="str">
        <f>IF(
   OR(
      P16="",
      TRIM(CLEAN(P16))="",
      ISNA(
         MATCH(
            TRIM(CLEAN(P16)),
            {"Extremely dissatisfied","Dissatisfied","Neutral","Satisfied","Extremely satisfied"},
            0
         )
      )
   ),
   "BAD VALUE",
   "OK"
)</f>
        <v>OK</v>
      </c>
      <c r="Q39" t="str">
        <f>IF(
   OR(
      Q16="",
      TRIM(CLEAN(Q16))="",
      ISNA(
         MATCH(
            TRIM(CLEAN(Q16)),
            {"Extremely dissatisfied","Dissatisfied","Neutral","Satisfied","Extremely satisfied"},
            0
         )
      )
   ),
   "BAD VALUE",
   "OK"
)</f>
        <v>OK</v>
      </c>
      <c r="R39" t="str">
        <f>IF(
   OR(
      R16="",
      TRIM(CLEAN(R16))="",
      ISNA(
         MATCH(
            TRIM(CLEAN(R16)),
            {"Extremely dissatisfied","Dissatisfied","Neutral","Satisfied","Extremely satisfied"},
            0
         )
      )
   ),
   "BAD VALUE",
   "OK"
)</f>
        <v>OK</v>
      </c>
      <c r="S39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39" t="str">
        <f>IF(
   OR(
      T16="",
      TRIM(CLEAN(T16))="",
      ISNA(
         MATCH(
            TRIM(CLEAN(T16)),
            {"Extremely dissatisfied","Dissatisfied","Neutral","Satisfied","Extremely satisfied"},
            0
         )
      )
   ),
   "BAD VALUE",
   "OK"
)</f>
        <v>OK</v>
      </c>
    </row>
    <row r="40" spans="14:20" x14ac:dyDescent="0.3">
      <c r="N40" t="str">
        <f>IF(
   OR(
      N17="",
      TRIM(CLEAN(N17))="",
      ISNA(
         MATCH(
            TRIM(CLEAN(N17)),
            {"Extremely dissatisfied","Dissatisfied","Neutral","Satisfied","Extremely satisfied"},
            0
         )
      )
   ),
   "BAD VALUE",
   "OK"
)</f>
        <v>OK</v>
      </c>
      <c r="O40" t="str">
        <f>IF(
   OR(
      O17="",
      TRIM(CLEAN(O17))="",
      ISNA(
         MATCH(
            TRIM(CLEAN(O17)),
            {"Extremely dissatisfied","Dissatisfied","Neutral","Satisfied","Extremely satisfied"},
            0
         )
      )
   ),
   "BAD VALUE",
   "OK"
)</f>
        <v>OK</v>
      </c>
      <c r="P40" t="str">
        <f>IF(
   OR(
      P17="",
      TRIM(CLEAN(P17))="",
      ISNA(
         MATCH(
            TRIM(CLEAN(P17)),
            {"Extremely dissatisfied","Dissatisfied","Neutral","Satisfied","Extremely satisfied"},
            0
         )
      )
   ),
   "BAD VALUE",
   "OK"
)</f>
        <v>OK</v>
      </c>
      <c r="Q40" t="str">
        <f>IF(
   OR(
      Q17="",
      TRIM(CLEAN(Q17))="",
      ISNA(
         MATCH(
            TRIM(CLEAN(Q17)),
            {"Extremely dissatisfied","Dissatisfied","Neutral","Satisfied","Extremely satisfied"},
            0
         )
      )
   ),
   "BAD VALUE",
   "OK"
)</f>
        <v>OK</v>
      </c>
      <c r="R40" t="str">
        <f>IF(
   OR(
      R17="",
      TRIM(CLEAN(R17))="",
      ISNA(
         MATCH(
            TRIM(CLEAN(R17)),
            {"Extremely dissatisfied","Dissatisfied","Neutral","Satisfied","Extremely satisfied"},
            0
         )
      )
   ),
   "BAD VALUE",
   "OK"
)</f>
        <v>OK</v>
      </c>
      <c r="S40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40" t="str">
        <f>IF(
   OR(
      T17="",
      TRIM(CLEAN(T17))="",
      ISNA(
         MATCH(
            TRIM(CLEAN(T17)),
            {"Extremely dissatisfied","Dissatisfied","Neutral","Satisfied","Extremely satisfied"},
            0
         )
      )
   ),
   "BAD VALUE",
   "OK"
)</f>
        <v>OK</v>
      </c>
    </row>
    <row r="41" spans="14:20" x14ac:dyDescent="0.3">
      <c r="N41" t="str">
        <f>IF(
   OR(
      N18="",
      TRIM(CLEAN(N18))="",
      ISNA(
         MATCH(
            TRIM(CLEAN(N18)),
            {"Extremely dissatisfied","Dissatisfied","Neutral","Satisfied","Extremely satisfied"},
            0
         )
      )
   ),
   "BAD VALUE",
   "OK"
)</f>
        <v>OK</v>
      </c>
      <c r="O41" t="str">
        <f>IF(
   OR(
      O18="",
      TRIM(CLEAN(O18))="",
      ISNA(
         MATCH(
            TRIM(CLEAN(O18)),
            {"Extremely dissatisfied","Dissatisfied","Neutral","Satisfied","Extremely satisfied"},
            0
         )
      )
   ),
   "BAD VALUE",
   "OK"
)</f>
        <v>OK</v>
      </c>
      <c r="P41" t="str">
        <f>IF(
   OR(
      P18="",
      TRIM(CLEAN(P18))="",
      ISNA(
         MATCH(
            TRIM(CLEAN(P18)),
            {"Extremely dissatisfied","Dissatisfied","Neutral","Satisfied","Extremely satisfied"},
            0
         )
      )
   ),
   "BAD VALUE",
   "OK"
)</f>
        <v>OK</v>
      </c>
      <c r="Q41" t="str">
        <f>IF(
   OR(
      Q18="",
      TRIM(CLEAN(Q18))="",
      ISNA(
         MATCH(
            TRIM(CLEAN(Q18)),
            {"Extremely dissatisfied","Dissatisfied","Neutral","Satisfied","Extremely satisfied"},
            0
         )
      )
   ),
   "BAD VALUE",
   "OK"
)</f>
        <v>OK</v>
      </c>
      <c r="R41" t="str">
        <f>IF(
   OR(
      R18="",
      TRIM(CLEAN(R18))="",
      ISNA(
         MATCH(
            TRIM(CLEAN(R18)),
            {"Extremely dissatisfied","Dissatisfied","Neutral","Satisfied","Extremely satisfied"},
            0
         )
      )
   ),
   "BAD VALUE",
   "OK"
)</f>
        <v>OK</v>
      </c>
      <c r="S41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41" t="str">
        <f>IF(
   OR(
      T18="",
      TRIM(CLEAN(T18))="",
      ISNA(
         MATCH(
            TRIM(CLEAN(T18)),
            {"Extremely dissatisfied","Dissatisfied","Neutral","Satisfied","Extremely satisfied"},
            0
         )
      )
   ),
   "BAD VALUE",
   "OK"
)</f>
        <v>OK</v>
      </c>
    </row>
    <row r="42" spans="14:20" x14ac:dyDescent="0.3">
      <c r="N42" t="str">
        <f>IF(
   OR(
      N19="",
      TRIM(CLEAN(N19))="",
      ISNA(
         MATCH(
            TRIM(CLEAN(N19)),
            {"Extremely dissatisfied","Dissatisfied","Neutral","Satisfied","Extremely satisfied"},
            0
         )
      )
   ),
   "BAD VALUE",
   "OK"
)</f>
        <v>OK</v>
      </c>
      <c r="O42" t="str">
        <f>IF(
   OR(
      O19="",
      TRIM(CLEAN(O19))="",
      ISNA(
         MATCH(
            TRIM(CLEAN(O19)),
            {"Extremely dissatisfied","Dissatisfied","Neutral","Satisfied","Extremely satisfied"},
            0
         )
      )
   ),
   "BAD VALUE",
   "OK"
)</f>
        <v>OK</v>
      </c>
      <c r="P42" t="str">
        <f>IF(
   OR(
      P19="",
      TRIM(CLEAN(P19))="",
      ISNA(
         MATCH(
            TRIM(CLEAN(P19)),
            {"Extremely dissatisfied","Dissatisfied","Neutral","Satisfied","Extremely satisfied"},
            0
         )
      )
   ),
   "BAD VALUE",
   "OK"
)</f>
        <v>OK</v>
      </c>
      <c r="Q42" t="str">
        <f>IF(
   OR(
      Q19="",
      TRIM(CLEAN(Q19))="",
      ISNA(
         MATCH(
            TRIM(CLEAN(Q19)),
            {"Extremely dissatisfied","Dissatisfied","Neutral","Satisfied","Extremely satisfied"},
            0
         )
      )
   ),
   "BAD VALUE",
   "OK"
)</f>
        <v>OK</v>
      </c>
      <c r="R42" t="str">
        <f>IF(
   OR(
      R19="",
      TRIM(CLEAN(R19))="",
      ISNA(
         MATCH(
            TRIM(CLEAN(R19)),
            {"Extremely dissatisfied","Dissatisfied","Neutral","Satisfied","Extremely satisfied"},
            0
         )
      )
   ),
   "BAD VALUE",
   "OK"
)</f>
        <v>OK</v>
      </c>
      <c r="S42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42" t="str">
        <f>IF(
   OR(
      T19="",
      TRIM(CLEAN(T19))="",
      ISNA(
         MATCH(
            TRIM(CLEAN(T19)),
            {"Extremely dissatisfied","Dissatisfied","Neutral","Satisfied","Extremely satisfied"},
            0
         )
      )
   ),
   "BAD VALUE",
   "OK"
)</f>
        <v>OK</v>
      </c>
    </row>
    <row r="43" spans="14:20" x14ac:dyDescent="0.3">
      <c r="N43" t="str">
        <f>IF(
   OR(
      N20="",
      TRIM(CLEAN(N20))="",
      ISNA(
         MATCH(
            TRIM(CLEAN(N20)),
            {"Extremely dissatisfied","Dissatisfied","Neutral","Satisfied","Extremely satisfied"},
            0
         )
      )
   ),
   "BAD VALUE",
   "OK"
)</f>
        <v>OK</v>
      </c>
      <c r="O43" t="str">
        <f>IF(
   OR(
      O20="",
      TRIM(CLEAN(O20))="",
      ISNA(
         MATCH(
            TRIM(CLEAN(O20)),
            {"Extremely dissatisfied","Dissatisfied","Neutral","Satisfied","Extremely satisfied"},
            0
         )
      )
   ),
   "BAD VALUE",
   "OK"
)</f>
        <v>OK</v>
      </c>
      <c r="P43" t="str">
        <f>IF(
   OR(
      P20="",
      TRIM(CLEAN(P20))="",
      ISNA(
         MATCH(
            TRIM(CLEAN(P20)),
            {"Extremely dissatisfied","Dissatisfied","Neutral","Satisfied","Extremely satisfied"},
            0
         )
      )
   ),
   "BAD VALUE",
   "OK"
)</f>
        <v>OK</v>
      </c>
      <c r="Q43" t="str">
        <f>IF(
   OR(
      Q20="",
      TRIM(CLEAN(Q20))="",
      ISNA(
         MATCH(
            TRIM(CLEAN(Q20)),
            {"Extremely dissatisfied","Dissatisfied","Neutral","Satisfied","Extremely satisfied"},
            0
         )
      )
   ),
   "BAD VALUE",
   "OK"
)</f>
        <v>OK</v>
      </c>
      <c r="R43" t="str">
        <f>IF(
   OR(
      R20="",
      TRIM(CLEAN(R20))="",
      ISNA(
         MATCH(
            TRIM(CLEAN(R20)),
            {"Extremely dissatisfied","Dissatisfied","Neutral","Satisfied","Extremely satisfied"},
            0
         )
      )
   ),
   "BAD VALUE",
   "OK"
)</f>
        <v>OK</v>
      </c>
      <c r="S43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43" t="str">
        <f>IF(
   OR(
      T20="",
      TRIM(CLEAN(T20))="",
      ISNA(
         MATCH(
            TRIM(CLEAN(T20)),
            {"Extremely dissatisfied","Dissatisfied","Neutral","Satisfied","Extremely satisfied"},
            0
         )
      )
   ),
   "BAD VALUE",
   "OK"
)</f>
        <v>OK</v>
      </c>
    </row>
    <row r="44" spans="14:20" x14ac:dyDescent="0.3">
      <c r="N44" t="str">
        <f>IF(
   OR(
      N21="",
      TRIM(CLEAN(N21))="",
      ISNA(
         MATCH(
            TRIM(CLEAN(N21)),
            {"Extremely dissatisfied","Dissatisfied","Neutral","Satisfied","Extremely satisfied"},
            0
         )
      )
   ),
   "BAD VALUE",
   "OK"
)</f>
        <v>OK</v>
      </c>
      <c r="O44" t="str">
        <f>IF(
   OR(
      O21="",
      TRIM(CLEAN(O21))="",
      ISNA(
         MATCH(
            TRIM(CLEAN(O21)),
            {"Extremely dissatisfied","Dissatisfied","Neutral","Satisfied","Extremely satisfied"},
            0
         )
      )
   ),
   "BAD VALUE",
   "OK"
)</f>
        <v>OK</v>
      </c>
      <c r="P44" t="str">
        <f>IF(
   OR(
      P21="",
      TRIM(CLEAN(P21))="",
      ISNA(
         MATCH(
            TRIM(CLEAN(P21)),
            {"Extremely dissatisfied","Dissatisfied","Neutral","Satisfied","Extremely satisfied"},
            0
         )
      )
   ),
   "BAD VALUE",
   "OK"
)</f>
        <v>OK</v>
      </c>
      <c r="Q44" t="str">
        <f>IF(
   OR(
      Q21="",
      TRIM(CLEAN(Q21))="",
      ISNA(
         MATCH(
            TRIM(CLEAN(Q21)),
            {"Extremely dissatisfied","Dissatisfied","Neutral","Satisfied","Extremely satisfied"},
            0
         )
      )
   ),
   "BAD VALUE",
   "OK"
)</f>
        <v>OK</v>
      </c>
      <c r="R44" t="str">
        <f>IF(
   OR(
      R21="",
      TRIM(CLEAN(R21))="",
      ISNA(
         MATCH(
            TRIM(CLEAN(R21)),
            {"Extremely dissatisfied","Dissatisfied","Neutral","Satisfied","Extremely satisfied"},
            0
         )
      )
   ),
   "BAD VALUE",
   "OK"
)</f>
        <v>OK</v>
      </c>
      <c r="S44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44" t="str">
        <f>IF(
   OR(
      T21="",
      TRIM(CLEAN(T21))="",
      ISNA(
         MATCH(
            TRIM(CLEAN(T21)),
            {"Extremely dissatisfied","Dissatisfied","Neutral","Satisfied","Extremely satisfied"},
            0
         )
      )
   ),
   "BAD VALUE",
   "OK"
)</f>
        <v>OK</v>
      </c>
    </row>
    <row r="45" spans="14:20" x14ac:dyDescent="0.3">
      <c r="N45" t="str">
        <f>IF(
   OR(
      N22="",
      TRIM(CLEAN(N22))="",
      ISNA(
         MATCH(
            TRIM(CLEAN(N22)),
            {"Extremely dissatisfied","Dissatisfied","Neutral","Satisfied","Extremely satisfied"},
            0
         )
      )
   ),
   "BAD VALUE",
   "OK"
)</f>
        <v>OK</v>
      </c>
      <c r="O45" t="str">
        <f>IF(
   OR(
      O22="",
      TRIM(CLEAN(O22))="",
      ISNA(
         MATCH(
            TRIM(CLEAN(O22)),
            {"Extremely dissatisfied","Dissatisfied","Neutral","Satisfied","Extremely satisfied"},
            0
         )
      )
   ),
   "BAD VALUE",
   "OK"
)</f>
        <v>OK</v>
      </c>
      <c r="P45" t="str">
        <f>IF(
   OR(
      P22="",
      TRIM(CLEAN(P22))="",
      ISNA(
         MATCH(
            TRIM(CLEAN(P22)),
            {"Extremely dissatisfied","Dissatisfied","Neutral","Satisfied","Extremely satisfied"},
            0
         )
      )
   ),
   "BAD VALUE",
   "OK"
)</f>
        <v>OK</v>
      </c>
      <c r="Q45" t="str">
        <f>IF(
   OR(
      Q22="",
      TRIM(CLEAN(Q22))="",
      ISNA(
         MATCH(
            TRIM(CLEAN(Q22)),
            {"Extremely dissatisfied","Dissatisfied","Neutral","Satisfied","Extremely satisfied"},
            0
         )
      )
   ),
   "BAD VALUE",
   "OK"
)</f>
        <v>OK</v>
      </c>
      <c r="R45" t="str">
        <f>IF(
   OR(
      R22="",
      TRIM(CLEAN(R22))="",
      ISNA(
         MATCH(
            TRIM(CLEAN(R22)),
            {"Extremely dissatisfied","Dissatisfied","Neutral","Satisfied","Extremely satisfied"},
            0
         )
      )
   ),
   "BAD VALUE",
   "OK"
)</f>
        <v>OK</v>
      </c>
      <c r="S45" t="str">
        <f>IF(
   OR(
      S$2="",
      TRIM(CLEAN(S$2))="",
      ISNA(
         MATCH(
            TRIM(CLEAN(S$2)),
            {"Extremely dissatisfied","Dissatisfied","Neutral","Satisfied","Extremely satisfied"},
            0
         )
      )
   ),
   "BAD VALUE",
   "OK"
)</f>
        <v>OK</v>
      </c>
      <c r="T45" t="str">
        <f>IF(
   OR(
      T22="",
      TRIM(CLEAN(T22))="",
      ISNA(
         MATCH(
            TRIM(CLEAN(T22)),
            {"Extremely dissatisfied","Dissatisfied","Neutral","Satisfied","Extremely satisfied"},
            0
         )
      )
   ),
   "BAD VALUE",
   "OK"
)</f>
        <v>OK</v>
      </c>
    </row>
    <row r="48" spans="14:20" x14ac:dyDescent="0.3">
      <c r="N48" t="s">
        <v>128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D24F-3D52-4E84-ABC6-1CABD1CABD7E}">
  <dimension ref="A1:B50"/>
  <sheetViews>
    <sheetView topLeftCell="A25" workbookViewId="0">
      <selection activeCell="A46" sqref="A46"/>
    </sheetView>
  </sheetViews>
  <sheetFormatPr defaultRowHeight="14.4" x14ac:dyDescent="0.3"/>
  <cols>
    <col min="1" max="1" width="16.44140625" bestFit="1" customWidth="1"/>
    <col min="2" max="3" width="19.88671875" bestFit="1" customWidth="1"/>
    <col min="4" max="4" width="8.109375" bestFit="1" customWidth="1"/>
    <col min="5" max="5" width="10.77734375" bestFit="1" customWidth="1"/>
    <col min="6" max="6" width="7.21875" bestFit="1" customWidth="1"/>
    <col min="7" max="7" width="8.109375" bestFit="1" customWidth="1"/>
    <col min="8" max="8" width="11.88671875" bestFit="1" customWidth="1"/>
    <col min="9" max="9" width="16.77734375" bestFit="1" customWidth="1"/>
    <col min="10" max="10" width="7.21875" bestFit="1" customWidth="1"/>
    <col min="11" max="11" width="8.109375" bestFit="1" customWidth="1"/>
    <col min="12" max="12" width="12.77734375" bestFit="1" customWidth="1"/>
    <col min="13" max="13" width="10.77734375" bestFit="1" customWidth="1"/>
    <col min="14" max="14" width="12.77734375" bestFit="1" customWidth="1"/>
    <col min="15" max="15" width="16.33203125" bestFit="1" customWidth="1"/>
    <col min="16" max="16" width="19.33203125" bestFit="1" customWidth="1"/>
    <col min="17" max="17" width="12.77734375" bestFit="1" customWidth="1"/>
    <col min="18" max="18" width="22.109375" bestFit="1" customWidth="1"/>
    <col min="19" max="19" width="18.77734375" bestFit="1" customWidth="1"/>
    <col min="20" max="20" width="21.6640625" bestFit="1" customWidth="1"/>
    <col min="21" max="21" width="14.6640625" bestFit="1" customWidth="1"/>
    <col min="22" max="22" width="17.88671875" bestFit="1" customWidth="1"/>
    <col min="23" max="23" width="12.77734375" bestFit="1" customWidth="1"/>
    <col min="24" max="25" width="20.6640625" bestFit="1" customWidth="1"/>
    <col min="26" max="26" width="12.77734375" bestFit="1" customWidth="1"/>
    <col min="27" max="27" width="23.44140625" bestFit="1" customWidth="1"/>
    <col min="28" max="28" width="20" bestFit="1" customWidth="1"/>
    <col min="29" max="29" width="21.6640625" bestFit="1" customWidth="1"/>
    <col min="30" max="30" width="22.77734375" bestFit="1" customWidth="1"/>
    <col min="31" max="31" width="18.77734375" bestFit="1" customWidth="1"/>
    <col min="32" max="32" width="21.6640625" bestFit="1" customWidth="1"/>
    <col min="33" max="34" width="16.77734375" bestFit="1" customWidth="1"/>
    <col min="35" max="35" width="12.77734375" bestFit="1" customWidth="1"/>
    <col min="36" max="36" width="18.21875" bestFit="1" customWidth="1"/>
    <col min="37" max="37" width="14.44140625" bestFit="1" customWidth="1"/>
    <col min="38" max="38" width="12.77734375" bestFit="1" customWidth="1"/>
    <col min="39" max="39" width="17.33203125" bestFit="1" customWidth="1"/>
    <col min="40" max="40" width="18.77734375" bestFit="1" customWidth="1"/>
    <col min="41" max="41" width="21.6640625" bestFit="1" customWidth="1"/>
    <col min="42" max="42" width="16.33203125" bestFit="1" customWidth="1"/>
    <col min="43" max="44" width="12.77734375" bestFit="1" customWidth="1"/>
    <col min="45" max="46" width="15.5546875" bestFit="1" customWidth="1"/>
    <col min="47" max="47" width="12.77734375" bestFit="1" customWidth="1"/>
    <col min="48" max="48" width="18.33203125" bestFit="1" customWidth="1"/>
    <col min="49" max="49" width="32.5546875" bestFit="1" customWidth="1"/>
    <col min="50" max="50" width="11.88671875" bestFit="1" customWidth="1"/>
    <col min="51" max="51" width="35.33203125" bestFit="1" customWidth="1"/>
    <col min="52" max="52" width="14.21875" bestFit="1" customWidth="1"/>
    <col min="53" max="53" width="11.88671875" bestFit="1" customWidth="1"/>
    <col min="54" max="54" width="17" bestFit="1" customWidth="1"/>
    <col min="55" max="55" width="16.77734375" bestFit="1" customWidth="1"/>
    <col min="56" max="56" width="12.77734375" bestFit="1" customWidth="1"/>
    <col min="57" max="57" width="18.21875" bestFit="1" customWidth="1"/>
    <col min="58" max="58" width="18.77734375" bestFit="1" customWidth="1"/>
    <col min="59" max="59" width="21.6640625" bestFit="1" customWidth="1"/>
    <col min="60" max="60" width="15" bestFit="1" customWidth="1"/>
    <col min="61" max="61" width="18.5546875" bestFit="1" customWidth="1"/>
    <col min="62" max="62" width="11.88671875" bestFit="1" customWidth="1"/>
    <col min="63" max="63" width="21.44140625" bestFit="1" customWidth="1"/>
    <col min="64" max="64" width="10.77734375" bestFit="1" customWidth="1"/>
  </cols>
  <sheetData>
    <row r="1" spans="1:2" x14ac:dyDescent="0.3">
      <c r="A1" s="6" t="s">
        <v>131</v>
      </c>
      <c r="B1" t="s">
        <v>130</v>
      </c>
    </row>
    <row r="2" spans="1:2" x14ac:dyDescent="0.3">
      <c r="A2" s="7">
        <v>6</v>
      </c>
      <c r="B2" s="5">
        <v>2</v>
      </c>
    </row>
    <row r="3" spans="1:2" x14ac:dyDescent="0.3">
      <c r="A3" s="7">
        <v>7</v>
      </c>
      <c r="B3" s="5">
        <v>4</v>
      </c>
    </row>
    <row r="4" spans="1:2" x14ac:dyDescent="0.3">
      <c r="A4" s="7">
        <v>8</v>
      </c>
      <c r="B4" s="5">
        <v>6</v>
      </c>
    </row>
    <row r="5" spans="1:2" x14ac:dyDescent="0.3">
      <c r="A5" s="7">
        <v>9</v>
      </c>
      <c r="B5" s="5">
        <v>3</v>
      </c>
    </row>
    <row r="6" spans="1:2" x14ac:dyDescent="0.3">
      <c r="A6" s="7">
        <v>10</v>
      </c>
      <c r="B6" s="5">
        <v>5</v>
      </c>
    </row>
    <row r="7" spans="1:2" x14ac:dyDescent="0.3">
      <c r="A7" s="7" t="s">
        <v>132</v>
      </c>
      <c r="B7" s="5">
        <v>1</v>
      </c>
    </row>
    <row r="8" spans="1:2" x14ac:dyDescent="0.3">
      <c r="A8" s="7" t="s">
        <v>133</v>
      </c>
      <c r="B8" s="5">
        <v>21</v>
      </c>
    </row>
    <row r="22" spans="1:2" x14ac:dyDescent="0.3">
      <c r="A22" s="6" t="s">
        <v>131</v>
      </c>
      <c r="B22" t="s">
        <v>130</v>
      </c>
    </row>
    <row r="23" spans="1:2" x14ac:dyDescent="0.3">
      <c r="A23" s="7" t="s">
        <v>41</v>
      </c>
      <c r="B23" s="5">
        <v>3</v>
      </c>
    </row>
    <row r="24" spans="1:2" x14ac:dyDescent="0.3">
      <c r="A24" s="7" t="s">
        <v>49</v>
      </c>
      <c r="B24" s="5">
        <v>10</v>
      </c>
    </row>
    <row r="25" spans="1:2" x14ac:dyDescent="0.3">
      <c r="A25" s="7" t="s">
        <v>29</v>
      </c>
      <c r="B25" s="5">
        <v>4</v>
      </c>
    </row>
    <row r="26" spans="1:2" x14ac:dyDescent="0.3">
      <c r="A26" s="7" t="s">
        <v>82</v>
      </c>
      <c r="B26" s="5">
        <v>3</v>
      </c>
    </row>
    <row r="27" spans="1:2" x14ac:dyDescent="0.3">
      <c r="A27" s="7" t="s">
        <v>132</v>
      </c>
      <c r="B27" s="5">
        <v>1</v>
      </c>
    </row>
    <row r="28" spans="1:2" x14ac:dyDescent="0.3">
      <c r="A28" s="7" t="s">
        <v>133</v>
      </c>
      <c r="B28" s="5">
        <v>21</v>
      </c>
    </row>
    <row r="46" spans="1:2" x14ac:dyDescent="0.3">
      <c r="A46" s="6" t="s">
        <v>131</v>
      </c>
      <c r="B46" t="s">
        <v>134</v>
      </c>
    </row>
    <row r="47" spans="1:2" x14ac:dyDescent="0.3">
      <c r="A47" s="7" t="s">
        <v>31</v>
      </c>
      <c r="B47" s="5">
        <v>5</v>
      </c>
    </row>
    <row r="48" spans="1:2" x14ac:dyDescent="0.3">
      <c r="A48" s="7" t="s">
        <v>32</v>
      </c>
      <c r="B48" s="5">
        <v>5</v>
      </c>
    </row>
    <row r="49" spans="1:2" x14ac:dyDescent="0.3">
      <c r="A49" s="7" t="s">
        <v>30</v>
      </c>
      <c r="B49" s="5">
        <v>11</v>
      </c>
    </row>
    <row r="50" spans="1:2" x14ac:dyDescent="0.3">
      <c r="A50" s="7" t="s">
        <v>133</v>
      </c>
      <c r="B50" s="5">
        <v>21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Results</vt:lpstr>
      <vt:lpstr>Pour Judgement's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Maritza Ruiz</cp:lastModifiedBy>
  <dcterms:created xsi:type="dcterms:W3CDTF">2026-04-09T22:38:26Z</dcterms:created>
  <dcterms:modified xsi:type="dcterms:W3CDTF">2026-04-10T19:44:02Z</dcterms:modified>
</cp:coreProperties>
</file>